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ml.chartshape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영문발간 draft\2026\3월\0330\Charts\"/>
    </mc:Choice>
  </mc:AlternateContent>
  <xr:revisionPtr revIDLastSave="0" documentId="13_ncr:1_{90FCB7DB-3B5D-4BB7-9C6F-731A3E6DB74B}" xr6:coauthVersionLast="36" xr6:coauthVersionMax="36" xr10:uidLastSave="{00000000-0000-0000-0000-000000000000}"/>
  <bookViews>
    <workbookView xWindow="0" yWindow="0" windowWidth="27690" windowHeight="10890" activeTab="2" xr2:uid="{E8218C4E-D68E-4E16-B40C-983FF8DCC070}"/>
  </bookViews>
  <sheets>
    <sheet name="1" sheetId="3" r:id="rId1"/>
    <sheet name="2" sheetId="4" r:id="rId2"/>
    <sheet name="Sheet5" sheetId="5" r:id="rId3"/>
  </sheets>
  <externalReferences>
    <externalReference r:id="rId4"/>
    <externalReference r:id="rId5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"BB_2018Q3.xlsx"</definedName>
    <definedName name="ColumnRange">"ColumnRange"</definedName>
    <definedName name="Dumbbell">"Dumbbell"</definedName>
    <definedName name="Heatmap">"Heatmap"</definedName>
    <definedName name="Histogram">"Histogram"</definedName>
    <definedName name="INTERCEPT">[1]KOSPI!$I$3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44765.9961458333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LOPE">[1]KOSPI!$I$2</definedName>
    <definedName name="Stripe">"Stripe"</definedName>
    <definedName name="Table">"Table"</definedName>
    <definedName name="TreeMap">"TreeMap"</definedName>
    <definedName name="TRNR_0a48ebe1d9fe4f2ebc9339f027f891c3_16_5" localSheetId="1" hidden="1">'[2]raw_한국 vs 일본'!#REF!</definedName>
    <definedName name="TRNR_0a48ebe1d9fe4f2ebc9339f027f891c3_16_5" hidden="1">'[2]raw_한국 vs 일본'!#REF!</definedName>
    <definedName name="TRNR_1e8ffcb27caa4da5be13c9a98444c286_528_192" localSheetId="1" hidden="1">'[2]raw_한국 vs 일본'!#REF!</definedName>
    <definedName name="TRNR_1e8ffcb27caa4da5be13c9a98444c286_528_192" hidden="1">'[2]raw_한국 vs 일본'!#REF!</definedName>
    <definedName name="TRNR_1eaa060e7502424391b048b1805c5b1b_26_5" localSheetId="1" hidden="1">'[2]raw_한국 vs 일본'!#REF!</definedName>
    <definedName name="TRNR_1eaa060e7502424391b048b1805c5b1b_26_5" hidden="1">'[2]raw_한국 vs 일본'!#REF!</definedName>
    <definedName name="TRNR_3fc06cc65dba4fccaa4fe18793026cf2_35_10" localSheetId="1" hidden="1">'[2]raw_한국 vs 일본'!#REF!</definedName>
    <definedName name="TRNR_3fc06cc65dba4fccaa4fe18793026cf2_35_10" hidden="1">'[2]raw_한국 vs 일본'!#REF!</definedName>
    <definedName name="TRNR_4b2211d031d946fda4b45b810a3994b8_25_8" localSheetId="1" hidden="1">'[2]raw_한국 vs 일본'!#REF!</definedName>
    <definedName name="TRNR_4b2211d031d946fda4b45b810a3994b8_25_8" hidden="1">'[2]raw_한국 vs 일본'!#REF!</definedName>
    <definedName name="TRNR_57e18eba2e6e4778aae64564e237dac9_16_5" localSheetId="1" hidden="1">'[2]raw_한국 vs 일본'!#REF!</definedName>
    <definedName name="TRNR_57e18eba2e6e4778aae64564e237dac9_16_5" hidden="1">'[2]raw_한국 vs 일본'!#REF!</definedName>
    <definedName name="TRNR_795cebfeda014c609e2371458ecea929_14_2" localSheetId="1" hidden="1">'[2]raw_한국 vs 일본'!#REF!</definedName>
    <definedName name="TRNR_795cebfeda014c609e2371458ecea929_14_2" hidden="1">'[2]raw_한국 vs 일본'!#REF!</definedName>
    <definedName name="TRNR_7e7700a480224752b44c25c1bcfb46f5_35_10" localSheetId="1" hidden="1">'[2]raw_한국 vs 일본'!#REF!</definedName>
    <definedName name="TRNR_7e7700a480224752b44c25c1bcfb46f5_35_10" hidden="1">'[2]raw_한국 vs 일본'!#REF!</definedName>
    <definedName name="TRNR_ad5b0528e1f64762a91497d60ba8ef6d_7432_5" localSheetId="1" hidden="1">'[2]raw_한국 vs 일본'!#REF!</definedName>
    <definedName name="TRNR_ad5b0528e1f64762a91497d60ba8ef6d_7432_5" hidden="1">'[2]raw_한국 vs 일본'!#REF!</definedName>
    <definedName name="TRNR_ae119ea88d154263932c0813c14ebbf2_14_5" localSheetId="1" hidden="1">'[2]raw_한국 vs 일본'!#REF!</definedName>
    <definedName name="TRNR_ae119ea88d154263932c0813c14ebbf2_14_5" hidden="1">'[2]raw_한국 vs 일본'!#REF!</definedName>
    <definedName name="TRNR_c38e0a9383d84bfa95ffdf32ceff0a90_26_5" localSheetId="1" hidden="1">'[2]raw_한국 vs 일본'!#REF!</definedName>
    <definedName name="TRNR_c38e0a9383d84bfa95ffdf32ceff0a90_26_5" hidden="1">'[2]raw_한국 vs 일본'!#REF!</definedName>
    <definedName name="TRNR_cd2ad3b9adba4c8eb93e063facae336c_16_5" localSheetId="1" hidden="1">'[2]raw_한국 vs 일본'!#REF!</definedName>
    <definedName name="TRNR_cd2ad3b9adba4c8eb93e063facae336c_16_5" hidden="1">'[2]raw_한국 vs 일본'!#REF!</definedName>
    <definedName name="TRNR_ce7748f90c4c473f8bf1bbe532e987f2_26_5" localSheetId="1" hidden="1">'[2]raw_한국 vs 일본'!#REF!</definedName>
    <definedName name="TRNR_ce7748f90c4c473f8bf1bbe532e987f2_26_5" hidden="1">'[2]raw_한국 vs 일본'!#REF!</definedName>
    <definedName name="TRNR_d99d840773b340e0851ff26d6cdbe7a2_25_8" localSheetId="1" hidden="1">'[2]raw_한국 vs 일본'!#REF!</definedName>
    <definedName name="TRNR_d99d840773b340e0851ff26d6cdbe7a2_25_8" hidden="1">'[2]raw_한국 vs 일본'!#REF!</definedName>
    <definedName name="TRNR_e47627928373445b900c606c469ff6e3_35_8" localSheetId="1" hidden="1">'[2]raw_한국 vs 일본'!#REF!</definedName>
    <definedName name="TRNR_e47627928373445b900c606c469ff6e3_35_8" hidden="1">'[2]raw_한국 vs 일본'!#REF!</definedName>
    <definedName name="TRNR_fc506e949cf14f19b460c5c44c9efbe0_35_10" localSheetId="1" hidden="1">'[2]raw_한국 vs 일본'!#REF!</definedName>
    <definedName name="TRNR_fc506e949cf14f19b460c5c44c9efbe0_35_10" hidden="1">'[2]raw_한국 vs 일본'!#REF!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유건호</author>
    <author>mgyoo</author>
  </authors>
  <commentList>
    <comment ref="Q20" authorId="0" shapeId="0" xr:uid="{BDF86283-0F95-4E9C-94E0-EEC954C26659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R20" authorId="0" shapeId="0" xr:uid="{A007CA0D-2043-4731-A7B3-936E43C99EC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S20" authorId="0" shapeId="0" xr:uid="{794CA1C9-2DAD-46C5-8845-BD16C8552413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R21" authorId="0" shapeId="0" xr:uid="{2AFD45F2-60C7-44BF-8CAD-3736CE8AD22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S21" authorId="0" shapeId="0" xr:uid="{7C04F1B5-D089-44CC-BD6B-671BEABA5E13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Q22" authorId="0" shapeId="0" xr:uid="{DFC9D905-F8CF-4BD3-A23F-E8127267686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S22" authorId="0" shapeId="0" xr:uid="{F239DA6F-6556-44B3-89DC-2A730C411646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P27" authorId="0" shapeId="0" xr:uid="{01B791DB-191C-4D3D-8FD9-B110247C3037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  <comment ref="X67" authorId="1" shapeId="0" xr:uid="{7B6944E4-7AE6-4B36-A5CF-D498814D8683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Y67" authorId="1" shapeId="0" xr:uid="{87914483-6A71-4CB1-B639-A00596F5EC7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X74" authorId="1" shapeId="0" xr:uid="{46E687F6-BB38-496C-B1E2-5503DBC6AF1C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곽상아</author>
  </authors>
  <commentList>
    <comment ref="Z5" authorId="0" shapeId="0" xr:uid="{D56D772D-EC34-464E-AAEF-D72CF9F61AC6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AA5" authorId="0" shapeId="0" xr:uid="{13B9445C-6C30-4F7F-882B-2ACF08B17B9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AB5" authorId="0" shapeId="0" xr:uid="{236A05DD-55E5-468E-A071-096666683331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AE5" authorId="0" shapeId="0" xr:uid="{686A2150-5F21-4EB4-9B9A-10A5ED3CDB13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AF5" authorId="1" shapeId="0" xr:uid="{81D1D70E-803E-4BEE-9D4F-84E823779A5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A6" authorId="0" shapeId="0" xr:uid="{75AE1B0D-1674-4A8C-9F8B-53BD683B03C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B6" authorId="0" shapeId="0" xr:uid="{4331AFF2-173D-4893-A13E-2E6AFA31D997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Z7" authorId="0" shapeId="0" xr:uid="{2644731A-5B12-4F4D-8DE7-6C2224B1C36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AB7" authorId="0" shapeId="0" xr:uid="{DAA472F4-3C3E-43E6-81CA-C7A6772DAAF5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Y12" authorId="0" shapeId="0" xr:uid="{EEDEFC2C-D84A-4886-AEBD-F8E457CA375C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  <comment ref="AE12" authorId="0" shapeId="0" xr:uid="{D5E58989-1E64-462D-8748-503FE6E6FF72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  <comment ref="AE22" authorId="0" shapeId="0" xr:uid="{F03DC57B-AAF7-46D8-9499-54294E180D32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AF22" authorId="1" shapeId="0" xr:uid="{731B85EC-B851-4FD5-B8CB-E8D36FA0D3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E29" authorId="0" shapeId="0" xr:uid="{B74B98E5-6E72-4A33-8FD0-4BEFA4C79BD9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  <comment ref="AE50" authorId="0" shapeId="0" xr:uid="{2C61B229-B521-4B76-86F5-F45ACC7820EA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AF50" authorId="1" shapeId="0" xr:uid="{03E0CEAF-5E52-4E7E-AF2F-CF920B26987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E57" authorId="0" shapeId="0" xr:uid="{80163E83-1194-41A1-8BDC-04B70529F77F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곽상아</author>
  </authors>
  <commentList>
    <comment ref="C5" authorId="0" shapeId="0" xr:uid="{AFEB204F-BD38-4AA1-823E-19F9D39F55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D5" authorId="0" shapeId="0" xr:uid="{3EAA39FE-3992-4B7C-8124-0DF909B5896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12" authorId="0" shapeId="0" xr:uid="{AA6C31E0-1CC6-4F74-A14C-49FA21A8FD51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<sst xmlns="http://schemas.openxmlformats.org/spreadsheetml/2006/main" count="650" uniqueCount="300">
  <si>
    <t>2026년 ROE</t>
    <phoneticPr fontId="6" type="noConversion"/>
  </si>
  <si>
    <t>자사주 소각전</t>
    <phoneticPr fontId="6" type="noConversion"/>
  </si>
  <si>
    <t>배당성향 가정에 따른 코스피 ROE 변화</t>
    <phoneticPr fontId="6" type="noConversion"/>
  </si>
  <si>
    <t>12.1%(현재)</t>
    <phoneticPr fontId="6" type="noConversion"/>
  </si>
  <si>
    <t>자사주 소각후</t>
    <phoneticPr fontId="6" type="noConversion"/>
  </si>
  <si>
    <t>자사주 소각+배당성향 40%</t>
    <phoneticPr fontId="6" type="noConversion"/>
  </si>
  <si>
    <t>x</t>
    <phoneticPr fontId="6" type="noConversion"/>
  </si>
  <si>
    <t>X</t>
    <phoneticPr fontId="6" type="noConversion"/>
  </si>
  <si>
    <t>회귀식 필요!</t>
    <phoneticPr fontId="6" type="noConversion"/>
  </si>
  <si>
    <t>현재 12MF PBR: 1.40배
적정 12MF PBR: 1.45배</t>
  </si>
  <si>
    <t>E115020</t>
  </si>
  <si>
    <t>기울기</t>
  </si>
  <si>
    <t>2026AS</t>
  </si>
  <si>
    <t>절편</t>
  </si>
  <si>
    <t>Local 100mn</t>
  </si>
  <si>
    <t>적정 12MF PBR</t>
  </si>
  <si>
    <t>CPW</t>
  </si>
  <si>
    <t>자본총계(지배)</t>
  </si>
  <si>
    <t xml:space="preserve">     Refresh     </t>
  </si>
  <si>
    <t>Last Update : 2026-03-19 19:25:54</t>
    <phoneticPr fontId="6" type="noConversion"/>
  </si>
  <si>
    <t>S101760</t>
  </si>
  <si>
    <t>*주의</t>
    <phoneticPr fontId="6" type="noConversion"/>
  </si>
  <si>
    <t>CPD-1TD</t>
  </si>
  <si>
    <t>통상 애널리스트가 사용하는 퀀티 데이터는 자사주가 이미 차감된 값</t>
    <phoneticPr fontId="6" type="noConversion"/>
  </si>
  <si>
    <t>Time Series (Sector)</t>
  </si>
  <si>
    <t>Shares</t>
  </si>
  <si>
    <t>거래소 산출 데이터는 자사주가 포함된 값</t>
    <phoneticPr fontId="6" type="noConversion"/>
  </si>
  <si>
    <t>Frequency</t>
  </si>
  <si>
    <t>M</t>
  </si>
  <si>
    <t>Ascending</t>
  </si>
  <si>
    <t>관련연구: https://www.e-kjfs.org/journal/view.php?number=890&amp;viewtype=pubreader</t>
    <phoneticPr fontId="6" type="noConversion"/>
  </si>
  <si>
    <t>Period(From)</t>
  </si>
  <si>
    <t>Korean</t>
  </si>
  <si>
    <t>액면조정자기주식수</t>
  </si>
  <si>
    <t>Period(To)</t>
  </si>
  <si>
    <t>Code</t>
    <phoneticPr fontId="6" type="noConversion"/>
  </si>
  <si>
    <t>IKS001</t>
    <phoneticPr fontId="6" type="noConversion"/>
  </si>
  <si>
    <t>Name</t>
    <phoneticPr fontId="6" type="noConversion"/>
  </si>
  <si>
    <t>코스피</t>
    <phoneticPr fontId="6" type="noConversion"/>
  </si>
  <si>
    <t>Item Code</t>
    <phoneticPr fontId="6" type="noConversion"/>
  </si>
  <si>
    <t>I100100</t>
  </si>
  <si>
    <t>I102100</t>
  </si>
  <si>
    <t>M122715.M</t>
  </si>
  <si>
    <t>E122770</t>
  </si>
  <si>
    <t>M115005.M</t>
  </si>
  <si>
    <t>E115080</t>
  </si>
  <si>
    <t>M701205.M</t>
  </si>
  <si>
    <t>M701250.M</t>
    <phoneticPr fontId="6" type="noConversion"/>
  </si>
  <si>
    <t>M441600.M</t>
  </si>
  <si>
    <t>M441800.M</t>
  </si>
  <si>
    <t>M311005.M</t>
    <phoneticPr fontId="6" type="noConversion"/>
  </si>
  <si>
    <t>E312060.M</t>
    <phoneticPr fontId="6" type="noConversion"/>
  </si>
  <si>
    <t>M313005.M</t>
    <phoneticPr fontId="6" type="noConversion"/>
  </si>
  <si>
    <t>E314060.M</t>
    <phoneticPr fontId="6" type="noConversion"/>
  </si>
  <si>
    <t>E211500</t>
  </si>
  <si>
    <t>E442400</t>
  </si>
  <si>
    <t>E122710</t>
  </si>
  <si>
    <t>자사주 소각 시뮬레이터</t>
    <phoneticPr fontId="6" type="noConversion"/>
  </si>
  <si>
    <t>Unit</t>
    <phoneticPr fontId="6" type="noConversion"/>
  </si>
  <si>
    <t>P</t>
  </si>
  <si>
    <t>Local/Shares</t>
    <phoneticPr fontId="6" type="noConversion"/>
  </si>
  <si>
    <t>%</t>
  </si>
  <si>
    <t>자사주 소각</t>
    <phoneticPr fontId="6" type="noConversion"/>
  </si>
  <si>
    <t>배당 증가 시뮬레이터</t>
    <phoneticPr fontId="6" type="noConversion"/>
  </si>
  <si>
    <t>Base Date</t>
    <phoneticPr fontId="6" type="noConversion"/>
  </si>
  <si>
    <t>IFY0</t>
    <phoneticPr fontId="6" type="noConversion"/>
  </si>
  <si>
    <t>FQ0</t>
    <phoneticPr fontId="6" type="noConversion"/>
  </si>
  <si>
    <t>소각 전</t>
    <phoneticPr fontId="6" type="noConversion"/>
  </si>
  <si>
    <t>소각 후</t>
    <phoneticPr fontId="6" type="noConversion"/>
  </si>
  <si>
    <t>(%)</t>
    <phoneticPr fontId="6" type="noConversion"/>
  </si>
  <si>
    <t>(억 원)</t>
    <phoneticPr fontId="6" type="noConversion"/>
  </si>
  <si>
    <t>배당성향 XX% 도달 위한 추가 현금</t>
    <phoneticPr fontId="6" type="noConversion"/>
  </si>
  <si>
    <t>자본총계(Fwd.12M, 지배) - 추가 현금 지출</t>
    <phoneticPr fontId="6" type="noConversion"/>
  </si>
  <si>
    <t>12MF ROE</t>
    <phoneticPr fontId="6" type="noConversion"/>
  </si>
  <si>
    <t>EPS(12MF)</t>
    <phoneticPr fontId="6" type="noConversion"/>
  </si>
  <si>
    <t>BPS(12MF)</t>
    <phoneticPr fontId="6" type="noConversion"/>
  </si>
  <si>
    <t>시가총액
(억 원)</t>
    <phoneticPr fontId="6" type="noConversion"/>
  </si>
  <si>
    <t>ROE(12MF)</t>
    <phoneticPr fontId="6" type="noConversion"/>
  </si>
  <si>
    <t>PBR(12MF)</t>
    <phoneticPr fontId="6" type="noConversion"/>
  </si>
  <si>
    <t>PER(12MF)</t>
    <phoneticPr fontId="6" type="noConversion"/>
  </si>
  <si>
    <t>멀티플
변화율 (%)</t>
    <phoneticPr fontId="6" type="noConversion"/>
  </si>
  <si>
    <t>D A T E</t>
    <phoneticPr fontId="6" type="noConversion"/>
  </si>
  <si>
    <t>종가지수</t>
    <phoneticPr fontId="6" type="noConversion"/>
  </si>
  <si>
    <t>시가총액</t>
    <phoneticPr fontId="6" type="noConversion"/>
  </si>
  <si>
    <t>당기순이익(지배, TTM)</t>
    <phoneticPr fontId="6" type="noConversion"/>
  </si>
  <si>
    <t>당기순이익(Fwd.12M, 지배)</t>
    <phoneticPr fontId="6" type="noConversion"/>
  </si>
  <si>
    <t>자본총계(지배, TTM)</t>
    <phoneticPr fontId="6" type="noConversion"/>
  </si>
  <si>
    <t>자본총계(Fwd.12M, 지배)</t>
    <phoneticPr fontId="6" type="noConversion"/>
  </si>
  <si>
    <t>보통주기말발행주식수(TTM)</t>
    <phoneticPr fontId="6" type="noConversion"/>
  </si>
  <si>
    <t>보통주수정기말발행주식수(자사주차감)</t>
    <phoneticPr fontId="6" type="noConversion"/>
  </si>
  <si>
    <t>현금배당액(보통주)</t>
    <phoneticPr fontId="6" type="noConversion"/>
  </si>
  <si>
    <t>현금배당액(전체)</t>
    <phoneticPr fontId="6" type="noConversion"/>
  </si>
  <si>
    <t>EPS(지배, TTM)</t>
    <phoneticPr fontId="6" type="noConversion"/>
  </si>
  <si>
    <t>EPS(Fwd.12M, 지배)</t>
    <phoneticPr fontId="6" type="noConversion"/>
  </si>
  <si>
    <t>BPS(지배, TTM)</t>
    <phoneticPr fontId="6" type="noConversion"/>
  </si>
  <si>
    <t>BPS(Fwd.12M, 지배)</t>
    <phoneticPr fontId="6" type="noConversion"/>
  </si>
  <si>
    <t>ROE(지배)</t>
    <phoneticPr fontId="6" type="noConversion"/>
  </si>
  <si>
    <t>현금배당액(보통주,연간)</t>
    <phoneticPr fontId="6" type="noConversion"/>
  </si>
  <si>
    <t>당기순이익(지배)</t>
    <phoneticPr fontId="6" type="noConversion"/>
  </si>
  <si>
    <t>자본총계(지배)</t>
    <phoneticPr fontId="6" type="noConversion"/>
  </si>
  <si>
    <t>소각후
주식수
하락비율</t>
    <phoneticPr fontId="6" type="noConversion"/>
  </si>
  <si>
    <t>시가총액
(소각 후)</t>
    <phoneticPr fontId="6" type="noConversion"/>
  </si>
  <si>
    <t>현재
배당성향</t>
    <phoneticPr fontId="6" type="noConversion"/>
  </si>
  <si>
    <t>당기순익의
1%</t>
    <phoneticPr fontId="6" type="noConversion"/>
  </si>
  <si>
    <t>현재</t>
    <phoneticPr fontId="6" type="noConversion"/>
  </si>
  <si>
    <t>Last Update : 2026-03-23 12:55:53</t>
    <phoneticPr fontId="6" type="noConversion"/>
  </si>
  <si>
    <t>Peer Analysis (To Select)</t>
    <phoneticPr fontId="6" type="noConversion"/>
  </si>
  <si>
    <t>Account Type</t>
  </si>
  <si>
    <t>All Listed</t>
  </si>
  <si>
    <t>Account</t>
    <phoneticPr fontId="6" type="noConversion"/>
  </si>
  <si>
    <t>R100200</t>
  </si>
  <si>
    <t>M115800.M</t>
  </si>
  <si>
    <t>Period</t>
    <phoneticPr fontId="6" type="noConversion"/>
  </si>
  <si>
    <t>Txt</t>
  </si>
  <si>
    <t>결산월</t>
    <phoneticPr fontId="6" type="noConversion"/>
  </si>
  <si>
    <t>자기주식</t>
    <phoneticPr fontId="6" type="noConversion"/>
  </si>
  <si>
    <t>IKS900</t>
  </si>
  <si>
    <t>자사주 매입액 계산시, 직접취득한 자사주만 계산한 값으로 계산</t>
    <phoneticPr fontId="20" type="noConversion"/>
  </si>
  <si>
    <t>국내 기업 현금배당액(L)</t>
    <phoneticPr fontId="20" type="noConversion"/>
  </si>
  <si>
    <t>국내 기업 자사주매입액(L)</t>
    <phoneticPr fontId="20" type="noConversion"/>
  </si>
  <si>
    <t>Last Update : 2026-03-24 08:39:13</t>
    <phoneticPr fontId="20" type="noConversion"/>
  </si>
  <si>
    <t>Last Update : 2026-03-24 08:39:16</t>
    <phoneticPr fontId="20" type="noConversion"/>
  </si>
  <si>
    <t>(조원)</t>
    <phoneticPr fontId="20" type="noConversion"/>
  </si>
  <si>
    <t>총 주주환원율(순이익 대비, R)</t>
    <phoneticPr fontId="20" type="noConversion"/>
  </si>
  <si>
    <t>자사주 매입액</t>
    <phoneticPr fontId="20" type="noConversion"/>
  </si>
  <si>
    <t>배당액</t>
    <phoneticPr fontId="20" type="noConversion"/>
  </si>
  <si>
    <t>자사주매입액(L )</t>
    <phoneticPr fontId="20" type="noConversion"/>
  </si>
  <si>
    <t>기말 시총</t>
    <phoneticPr fontId="20" type="noConversion"/>
  </si>
  <si>
    <t>기말 당기순이익</t>
    <phoneticPr fontId="20" type="noConversion"/>
  </si>
  <si>
    <t>한국 Buyback Yield(시가총액 대비,R)</t>
    <phoneticPr fontId="20" type="noConversion"/>
  </si>
  <si>
    <t>자사주 매입률(순이익 대비,R)</t>
    <phoneticPr fontId="20" type="noConversion"/>
  </si>
  <si>
    <t>총주주환원율(시가총액 대비)</t>
    <phoneticPr fontId="20" type="noConversion"/>
  </si>
  <si>
    <t>(순이익 대비)</t>
    <phoneticPr fontId="20" type="noConversion"/>
  </si>
  <si>
    <t>자사주 매입액(삼전 제외, L )</t>
    <phoneticPr fontId="20" type="noConversion"/>
  </si>
  <si>
    <t>삼성전자(L)</t>
    <phoneticPr fontId="20" type="noConversion"/>
  </si>
  <si>
    <t>자사주 소각액</t>
    <phoneticPr fontId="20" type="noConversion"/>
  </si>
  <si>
    <t>직접취득</t>
    <phoneticPr fontId="20" type="noConversion"/>
  </si>
  <si>
    <t>신탁취득</t>
    <phoneticPr fontId="20" type="noConversion"/>
  </si>
  <si>
    <t>Peer Analysis (To Select)</t>
    <phoneticPr fontId="20" type="noConversion"/>
  </si>
  <si>
    <t>Y</t>
    <phoneticPr fontId="20" type="noConversion"/>
  </si>
  <si>
    <t>CPD [20260324]</t>
    <phoneticPr fontId="20" type="noConversion"/>
  </si>
  <si>
    <t>Code</t>
    <phoneticPr fontId="20" type="noConversion"/>
  </si>
  <si>
    <t>IKS001</t>
    <phoneticPr fontId="20" type="noConversion"/>
  </si>
  <si>
    <t>자사주 매입액(직접취득)</t>
    <phoneticPr fontId="20" type="noConversion"/>
  </si>
  <si>
    <t>자사주 소각액(삼성전자)</t>
    <phoneticPr fontId="20" type="noConversion"/>
  </si>
  <si>
    <t>자사주 소각액(삼전 제외, L)</t>
    <phoneticPr fontId="20" type="noConversion"/>
  </si>
  <si>
    <t>Name</t>
    <phoneticPr fontId="20" type="noConversion"/>
  </si>
  <si>
    <t>코스피</t>
    <phoneticPr fontId="20" type="noConversion"/>
  </si>
  <si>
    <t>Account</t>
    <phoneticPr fontId="20" type="noConversion"/>
  </si>
  <si>
    <t>M122710.M</t>
  </si>
  <si>
    <t>E122710.M</t>
    <phoneticPr fontId="20" type="noConversion"/>
  </si>
  <si>
    <t>자사주 매입액(전체)</t>
    <phoneticPr fontId="20" type="noConversion"/>
  </si>
  <si>
    <t>자사주 매입 공시건수(R)</t>
    <phoneticPr fontId="20" type="noConversion"/>
  </si>
  <si>
    <t>자사주 소각(삼전)</t>
    <phoneticPr fontId="20" type="noConversion"/>
  </si>
  <si>
    <t>Item Code</t>
    <phoneticPr fontId="20" type="noConversion"/>
  </si>
  <si>
    <t>Period</t>
    <phoneticPr fontId="20" type="noConversion"/>
  </si>
  <si>
    <t>2010AS</t>
  </si>
  <si>
    <t>2011AS</t>
  </si>
  <si>
    <t>2012AS</t>
  </si>
  <si>
    <t>2013AS</t>
  </si>
  <si>
    <t>2014AS</t>
  </si>
  <si>
    <t>2015AS</t>
  </si>
  <si>
    <t>2016AS</t>
  </si>
  <si>
    <t>2017AS</t>
  </si>
  <si>
    <t>2018AS</t>
  </si>
  <si>
    <t>2019AS</t>
  </si>
  <si>
    <t>2020AS</t>
  </si>
  <si>
    <t>2021AS</t>
  </si>
  <si>
    <t>2022AS</t>
  </si>
  <si>
    <t>2023AS</t>
  </si>
  <si>
    <t>2024AS</t>
  </si>
  <si>
    <t>2025AS</t>
  </si>
  <si>
    <t>Unit</t>
    <phoneticPr fontId="20" type="noConversion"/>
  </si>
  <si>
    <t>KRW bil</t>
    <phoneticPr fontId="20" type="noConversion"/>
  </si>
  <si>
    <t>Base Date</t>
    <phoneticPr fontId="20" type="noConversion"/>
  </si>
  <si>
    <t>결산월</t>
    <phoneticPr fontId="20" type="noConversion"/>
  </si>
  <si>
    <t>당기순이익(지배)</t>
    <phoneticPr fontId="20" type="noConversion"/>
  </si>
  <si>
    <t>D A T E</t>
    <phoneticPr fontId="20" type="noConversion"/>
  </si>
  <si>
    <t>시가총액</t>
    <phoneticPr fontId="20" type="noConversion"/>
  </si>
  <si>
    <t>2010-12</t>
  </si>
  <si>
    <t>A005930</t>
    <phoneticPr fontId="20" type="noConversion"/>
  </si>
  <si>
    <t>삼성전자</t>
    <phoneticPr fontId="20" type="noConversion"/>
  </si>
  <si>
    <t>2011-12</t>
  </si>
  <si>
    <t>2012-12</t>
  </si>
  <si>
    <t>2013-12</t>
  </si>
  <si>
    <t>Last Update : 2026-03-24 08:39:18</t>
    <phoneticPr fontId="20" type="noConversion"/>
  </si>
  <si>
    <t>E442400.M</t>
  </si>
  <si>
    <t>2014-12</t>
  </si>
  <si>
    <t>2015-12</t>
  </si>
  <si>
    <t>2016-12</t>
  </si>
  <si>
    <t>*배당수익률에서 역산</t>
    <phoneticPr fontId="20" type="noConversion"/>
  </si>
  <si>
    <t>*CF 합산</t>
    <phoneticPr fontId="20" type="noConversion"/>
  </si>
  <si>
    <t>Local bil</t>
    <phoneticPr fontId="20" type="noConversion"/>
  </si>
  <si>
    <t>2017-12</t>
  </si>
  <si>
    <t>현금배당액(보통주,연간)</t>
  </si>
  <si>
    <t>일본</t>
    <phoneticPr fontId="20" type="noConversion"/>
  </si>
  <si>
    <t>배당액</t>
  </si>
  <si>
    <t>자사주매입액(L)</t>
    <phoneticPr fontId="20" type="noConversion"/>
  </si>
  <si>
    <t>당기순이익(합산)</t>
    <phoneticPr fontId="20" type="noConversion"/>
  </si>
  <si>
    <t>당기순이익(지수)</t>
    <phoneticPr fontId="20" type="noConversion"/>
  </si>
  <si>
    <t>일본 Buyback Yield(시가총액 대비,R)</t>
    <phoneticPr fontId="20" type="noConversion"/>
  </si>
  <si>
    <t>일본 Buyback Yield(순이익 대비,R)</t>
    <phoneticPr fontId="20" type="noConversion"/>
  </si>
  <si>
    <t>일본 자사주 매입액</t>
    <phoneticPr fontId="20" type="noConversion"/>
  </si>
  <si>
    <t>2018-12</t>
  </si>
  <si>
    <t>2019-12</t>
  </si>
  <si>
    <t>2020-12</t>
  </si>
  <si>
    <t>2021-12</t>
  </si>
  <si>
    <t>일본 현금배당액(L)</t>
    <phoneticPr fontId="20" type="noConversion"/>
  </si>
  <si>
    <t>2022-12</t>
  </si>
  <si>
    <t>2026AS</t>
    <phoneticPr fontId="20" type="noConversion"/>
  </si>
  <si>
    <t>일본 자사주매입액(L)</t>
    <phoneticPr fontId="20" type="noConversion"/>
  </si>
  <si>
    <t>2023-12</t>
  </si>
  <si>
    <t>2024-12</t>
  </si>
  <si>
    <t>2025-12</t>
  </si>
  <si>
    <t>현금배당액(보통주)</t>
    <phoneticPr fontId="20" type="noConversion"/>
  </si>
  <si>
    <t>현금배당액(보통주,연간)</t>
    <phoneticPr fontId="20" type="noConversion"/>
  </si>
  <si>
    <t>2026-03</t>
  </si>
  <si>
    <t>현금배당액(전체)</t>
    <phoneticPr fontId="20" type="noConversion"/>
  </si>
  <si>
    <t>현금배당액(삼전 제외, L)</t>
    <phoneticPr fontId="20" type="noConversion"/>
  </si>
  <si>
    <t>현금배당성향(R)</t>
    <phoneticPr fontId="20" type="noConversion"/>
  </si>
  <si>
    <t>배당성향</t>
    <phoneticPr fontId="20" type="noConversion"/>
  </si>
  <si>
    <t>Last Update : 2026-03-24 08:39:20</t>
    <phoneticPr fontId="20" type="noConversion"/>
  </si>
  <si>
    <t>M451200.M</t>
  </si>
  <si>
    <t>e451200.M</t>
    <phoneticPr fontId="20" type="noConversion"/>
  </si>
  <si>
    <t>현금배당성향(%)</t>
    <phoneticPr fontId="20" type="noConversion"/>
  </si>
  <si>
    <t>N/A</t>
    <phoneticPr fontId="20" type="noConversion"/>
  </si>
  <si>
    <t>자사주 매입액 + 배당금(L)</t>
    <phoneticPr fontId="20" type="noConversion"/>
  </si>
  <si>
    <t>시총(조원)</t>
    <phoneticPr fontId="20" type="noConversion"/>
  </si>
  <si>
    <t>총주주환원수익률(R)</t>
    <phoneticPr fontId="20" type="noConversion"/>
  </si>
  <si>
    <t>25F</t>
    <phoneticPr fontId="20" type="noConversion"/>
  </si>
  <si>
    <t>26F</t>
    <phoneticPr fontId="20" type="noConversion"/>
  </si>
  <si>
    <t>Dividend</t>
    <phoneticPr fontId="20" type="noConversion"/>
  </si>
  <si>
    <t>Share buyback</t>
    <phoneticPr fontId="20" type="noConversion"/>
  </si>
  <si>
    <t>English</t>
  </si>
  <si>
    <t>A006800</t>
  </si>
  <si>
    <t>A010950</t>
  </si>
  <si>
    <t>A000660</t>
  </si>
  <si>
    <t>A005930</t>
  </si>
  <si>
    <t>A458870</t>
  </si>
  <si>
    <t>A181710</t>
  </si>
  <si>
    <t>A278470</t>
  </si>
  <si>
    <t>A095340</t>
  </si>
  <si>
    <t>A016360</t>
  </si>
  <si>
    <t>A064760</t>
  </si>
  <si>
    <t>A028260</t>
  </si>
  <si>
    <t>A352820</t>
  </si>
  <si>
    <t>A298040</t>
  </si>
  <si>
    <t>A241710</t>
  </si>
  <si>
    <t>A111770</t>
  </si>
  <si>
    <t>A055550</t>
  </si>
  <si>
    <t>A271560</t>
  </si>
  <si>
    <t>A009150</t>
  </si>
  <si>
    <t>Peer Analysis (To Select)</t>
    <phoneticPr fontId="5" type="noConversion"/>
  </si>
  <si>
    <t>Account</t>
    <phoneticPr fontId="5" type="noConversion"/>
  </si>
  <si>
    <t>Period</t>
    <phoneticPr fontId="5" type="noConversion"/>
  </si>
  <si>
    <t>Unit</t>
    <phoneticPr fontId="5" type="noConversion"/>
  </si>
  <si>
    <t>Code</t>
    <phoneticPr fontId="5" type="noConversion"/>
  </si>
  <si>
    <t>Name</t>
    <phoneticPr fontId="5" type="noConversion"/>
  </si>
  <si>
    <t>Base Date</t>
    <phoneticPr fontId="5" type="noConversion"/>
  </si>
  <si>
    <t>Fiscal Month</t>
    <phoneticPr fontId="5" type="noConversion"/>
  </si>
  <si>
    <t>MIRAE ASSET SEC</t>
    <phoneticPr fontId="5" type="noConversion"/>
  </si>
  <si>
    <t>S-Oil</t>
    <phoneticPr fontId="5" type="noConversion"/>
  </si>
  <si>
    <t>SK hynix</t>
    <phoneticPr fontId="5" type="noConversion"/>
  </si>
  <si>
    <t>SamsungElec</t>
    <phoneticPr fontId="5" type="noConversion"/>
  </si>
  <si>
    <t>SEERS</t>
    <phoneticPr fontId="5" type="noConversion"/>
  </si>
  <si>
    <t>NHN</t>
    <phoneticPr fontId="5" type="noConversion"/>
  </si>
  <si>
    <t>APR</t>
    <phoneticPr fontId="5" type="noConversion"/>
  </si>
  <si>
    <t>ISC</t>
    <phoneticPr fontId="5" type="noConversion"/>
  </si>
  <si>
    <t>SamsungSecu</t>
    <phoneticPr fontId="5" type="noConversion"/>
  </si>
  <si>
    <t>TCK</t>
    <phoneticPr fontId="5" type="noConversion"/>
  </si>
  <si>
    <t>SAMSUNG C&amp;T</t>
    <phoneticPr fontId="5" type="noConversion"/>
  </si>
  <si>
    <t>HYBE</t>
    <phoneticPr fontId="5" type="noConversion"/>
  </si>
  <si>
    <t>HYOSUNG HEAVY</t>
    <phoneticPr fontId="5" type="noConversion"/>
  </si>
  <si>
    <t>COSMECCA KOREA</t>
    <phoneticPr fontId="5" type="noConversion"/>
  </si>
  <si>
    <t>Youngone Corp</t>
    <phoneticPr fontId="5" type="noConversion"/>
  </si>
  <si>
    <t>ShinhanGroup</t>
    <phoneticPr fontId="5" type="noConversion"/>
  </si>
  <si>
    <t>ORION</t>
    <phoneticPr fontId="5" type="noConversion"/>
  </si>
  <si>
    <t>SamsungElecMech</t>
    <phoneticPr fontId="5" type="noConversion"/>
  </si>
  <si>
    <t>R200710</t>
  </si>
  <si>
    <t>Last Update : 2026-03-30 13:24:00</t>
    <phoneticPr fontId="5" type="noConversion"/>
  </si>
  <si>
    <t>WI26 Sector(Large)</t>
    <phoneticPr fontId="5" type="noConversion"/>
  </si>
  <si>
    <t>Securities</t>
  </si>
  <si>
    <t>Energy</t>
  </si>
  <si>
    <t>Semiconductors</t>
  </si>
  <si>
    <t>Health Care</t>
  </si>
  <si>
    <t>Software</t>
  </si>
  <si>
    <t>Cosmetics,Apparel,Toys</t>
  </si>
  <si>
    <t>Trading firm,Capital Goods</t>
  </si>
  <si>
    <t>Media,Education</t>
  </si>
  <si>
    <t>Machinery</t>
  </si>
  <si>
    <t>Bank</t>
  </si>
  <si>
    <t>Consumer Staples</t>
  </si>
  <si>
    <t>IT Hardware</t>
  </si>
  <si>
    <t>12.1% (current)</t>
    <phoneticPr fontId="6" type="noConversion"/>
  </si>
  <si>
    <t>P/E</t>
    <phoneticPr fontId="6" type="noConversion"/>
  </si>
  <si>
    <t>P/B</t>
    <phoneticPr fontId="6" type="noConversion"/>
  </si>
  <si>
    <t>No. of buyback announcements (R)</t>
    <phoneticPr fontId="20" type="noConversion"/>
  </si>
  <si>
    <t>SEC treasury share cancellations (L)</t>
    <phoneticPr fontId="20" type="noConversion"/>
  </si>
  <si>
    <t>Ex-SEC treasury share cancellations (L)</t>
    <phoneticPr fontId="20" type="noConversion"/>
  </si>
  <si>
    <t xml:space="preserve">KOSPI ROE under diff. dividend payout ratio asumptions
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</si>
</sst>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"/>
    <numFmt numFmtId="177" formatCode="yy\.mm"/>
    <numFmt numFmtId="178" formatCode="#,##0.0"/>
    <numFmt numFmtId="179" formatCode="yyyymmdd"/>
    <numFmt numFmtId="180" formatCode="_-* #,##0.0_-;\-* #,##0.0_-;_-* &quot;-&quot;_-;_-@_-"/>
    <numFmt numFmtId="181" formatCode="#,##0.0_ "/>
    <numFmt numFmtId="182" formatCode="#,##0_ "/>
    <numFmt numFmtId="183" formatCode="#,##0_);\(#,##0\);#,##0_);@_)"/>
    <numFmt numFmtId="184" formatCode="#,##0.0_);\(#,##0.0\);#,##0.0_);@_)"/>
  </numFmts>
  <fonts count="32" x14ac:knownFonts="1">
    <font>
      <sz val="9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u/>
      <sz val="9"/>
      <color theme="10"/>
      <name val="돋움"/>
      <family val="2"/>
      <charset val="129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8"/>
      <name val="돋움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color rgb="FFFFFFFF"/>
      <name val="맑은 고딕"/>
      <family val="3"/>
      <charset val="129"/>
      <scheme val="minor"/>
    </font>
    <font>
      <b/>
      <sz val="8"/>
      <color rgb="FF404040"/>
      <name val="맑은 고딕"/>
      <family val="3"/>
      <charset val="129"/>
      <scheme val="minor"/>
    </font>
    <font>
      <sz val="8"/>
      <color rgb="FF9B9B9B"/>
      <name val="맑은 고딕"/>
      <family val="3"/>
      <charset val="129"/>
      <scheme val="minor"/>
    </font>
    <font>
      <sz val="10"/>
      <color theme="1"/>
      <name val="KoPub돋움체_Pro Bold"/>
      <family val="1"/>
      <charset val="129"/>
    </font>
    <font>
      <sz val="8"/>
      <color theme="1"/>
      <name val="맑은 고딕"/>
      <family val="2"/>
      <scheme val="minor"/>
    </font>
    <font>
      <b/>
      <sz val="8"/>
      <color theme="1"/>
      <name val="KoPub돋움체_Pro Bold"/>
      <family val="1"/>
      <charset val="129"/>
    </font>
    <font>
      <sz val="8"/>
      <color theme="1"/>
      <name val="KoPub돋움체_Pro Bold"/>
      <family val="1"/>
      <charset val="129"/>
    </font>
    <font>
      <sz val="8"/>
      <color rgb="FFFF0000"/>
      <name val="맑은 고딕"/>
      <family val="3"/>
      <charset val="129"/>
      <scheme val="minor"/>
    </font>
    <font>
      <sz val="9"/>
      <color rgb="FFFFFFFF"/>
      <name val="맑은 고딕"/>
      <family val="2"/>
      <scheme val="minor"/>
    </font>
    <font>
      <sz val="9"/>
      <color indexed="81"/>
      <name val="돋움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FFFF"/>
      <name val="돋움"/>
      <family val="2"/>
      <charset val="129"/>
    </font>
    <font>
      <b/>
      <sz val="9"/>
      <color rgb="FF404040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664FD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rgb="FF3664FD"/>
      </bottom>
      <diagonal/>
    </border>
    <border>
      <left/>
      <right/>
      <top style="thin">
        <color indexed="64"/>
      </top>
      <bottom style="thin">
        <color rgb="FF3664FD"/>
      </bottom>
      <diagonal/>
    </border>
    <border>
      <left style="medium">
        <color auto="1"/>
      </left>
      <right/>
      <top style="thin">
        <color indexed="64"/>
      </top>
      <bottom style="thin">
        <color rgb="FF3664FD"/>
      </bottom>
      <diagonal/>
    </border>
    <border>
      <left style="thin">
        <color indexed="64"/>
      </left>
      <right/>
      <top style="thin">
        <color indexed="64"/>
      </top>
      <bottom style="thin">
        <color rgb="FF3664FD"/>
      </bottom>
      <diagonal/>
    </border>
    <border>
      <left/>
      <right style="thin">
        <color indexed="64"/>
      </right>
      <top style="thin">
        <color indexed="64"/>
      </top>
      <bottom style="thin">
        <color rgb="FF3664FD"/>
      </bottom>
      <diagonal/>
    </border>
    <border>
      <left/>
      <right style="medium">
        <color auto="1"/>
      </right>
      <top style="thin">
        <color indexed="64"/>
      </top>
      <bottom style="thin">
        <color rgb="FF3664F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664FD"/>
      </left>
      <right style="thin">
        <color rgb="FF3664FD"/>
      </right>
      <top style="thin">
        <color rgb="FF3664FD"/>
      </top>
      <bottom/>
      <diagonal/>
    </border>
    <border>
      <left style="thin">
        <color rgb="FF3664FD"/>
      </left>
      <right style="thin">
        <color rgb="FF3664FD"/>
      </right>
      <top/>
      <bottom style="thin">
        <color rgb="FF3664FD"/>
      </bottom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/>
    <xf numFmtId="0" fontId="7" fillId="0" borderId="0" applyNumberForma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9" fontId="4" fillId="0" borderId="0" xfId="2" applyNumberFormat="1" applyFont="1" applyAlignment="1">
      <alignment horizontal="center" vertical="center"/>
    </xf>
    <xf numFmtId="177" fontId="4" fillId="0" borderId="0" xfId="2" applyNumberFormat="1" applyFont="1" applyAlignment="1">
      <alignment vertical="center"/>
    </xf>
    <xf numFmtId="2" fontId="4" fillId="0" borderId="0" xfId="2" applyNumberFormat="1" applyFont="1" applyAlignment="1">
      <alignment vertical="center"/>
    </xf>
    <xf numFmtId="0" fontId="4" fillId="0" borderId="0" xfId="2" applyFont="1" applyBorder="1" applyAlignment="1">
      <alignment vertical="center"/>
    </xf>
    <xf numFmtId="176" fontId="4" fillId="0" borderId="0" xfId="2" applyNumberFormat="1" applyFont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78" fontId="4" fillId="0" borderId="0" xfId="2" applyNumberFormat="1" applyFont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79" fontId="4" fillId="0" borderId="2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right" vertical="center"/>
    </xf>
    <xf numFmtId="49" fontId="4" fillId="0" borderId="3" xfId="2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 vertical="center"/>
    </xf>
    <xf numFmtId="177" fontId="4" fillId="0" borderId="0" xfId="2" applyNumberFormat="1" applyFont="1" applyBorder="1" applyAlignment="1">
      <alignment vertical="center"/>
    </xf>
    <xf numFmtId="0" fontId="10" fillId="0" borderId="0" xfId="2" applyFont="1" applyBorder="1" applyAlignment="1">
      <alignment horizontal="right" vertical="center"/>
    </xf>
    <xf numFmtId="49" fontId="4" fillId="0" borderId="4" xfId="2" applyNumberFormat="1" applyFont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right" vertical="center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12" fillId="0" borderId="0" xfId="2" applyFont="1" applyBorder="1" applyAlignment="1">
      <alignment vertical="center"/>
    </xf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13" fillId="9" borderId="0" xfId="2" applyFont="1" applyFill="1" applyBorder="1" applyAlignment="1">
      <alignment horizontal="center" vertical="center"/>
    </xf>
    <xf numFmtId="0" fontId="13" fillId="9" borderId="0" xfId="2" applyFont="1" applyFill="1" applyBorder="1" applyAlignment="1">
      <alignment horizontal="center" vertical="center" wrapText="1"/>
    </xf>
    <xf numFmtId="0" fontId="13" fillId="9" borderId="12" xfId="2" applyFont="1" applyFill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14" fillId="10" borderId="23" xfId="2" applyFont="1" applyFill="1" applyBorder="1" applyAlignment="1">
      <alignment horizontal="center" vertical="center" wrapText="1"/>
    </xf>
    <xf numFmtId="0" fontId="14" fillId="10" borderId="24" xfId="2" applyFont="1" applyFill="1" applyBorder="1" applyAlignment="1">
      <alignment horizontal="center" vertical="center" wrapText="1"/>
    </xf>
    <xf numFmtId="0" fontId="14" fillId="10" borderId="25" xfId="2" applyFont="1" applyFill="1" applyBorder="1" applyAlignment="1">
      <alignment horizontal="center" vertical="center" wrapText="1"/>
    </xf>
    <xf numFmtId="0" fontId="14" fillId="10" borderId="26" xfId="2" applyFont="1" applyFill="1" applyBorder="1" applyAlignment="1">
      <alignment horizontal="center" vertical="center" wrapText="1"/>
    </xf>
    <xf numFmtId="0" fontId="14" fillId="8" borderId="23" xfId="2" applyFont="1" applyFill="1" applyBorder="1" applyAlignment="1">
      <alignment horizontal="center" vertical="center" wrapText="1"/>
    </xf>
    <xf numFmtId="0" fontId="14" fillId="8" borderId="27" xfId="2" applyFont="1" applyFill="1" applyBorder="1" applyAlignment="1">
      <alignment horizontal="center" vertical="center" wrapText="1"/>
    </xf>
    <xf numFmtId="177" fontId="4" fillId="10" borderId="16" xfId="2" applyNumberFormat="1" applyFont="1" applyFill="1" applyBorder="1" applyAlignment="1">
      <alignment horizontal="center" vertical="center"/>
    </xf>
    <xf numFmtId="3" fontId="4" fillId="0" borderId="0" xfId="2" applyNumberFormat="1" applyFont="1" applyBorder="1" applyAlignment="1">
      <alignment horizontal="center" vertical="center"/>
    </xf>
    <xf numFmtId="2" fontId="4" fillId="0" borderId="0" xfId="2" applyNumberFormat="1" applyFont="1" applyBorder="1" applyAlignment="1">
      <alignment horizontal="center" vertical="center"/>
    </xf>
    <xf numFmtId="2" fontId="4" fillId="0" borderId="12" xfId="2" applyNumberFormat="1" applyFont="1" applyBorder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14" fontId="4" fillId="10" borderId="0" xfId="2" applyNumberFormat="1" applyFont="1" applyFill="1" applyAlignment="1">
      <alignment horizontal="center" vertical="center"/>
    </xf>
    <xf numFmtId="180" fontId="4" fillId="0" borderId="0" xfId="4" applyNumberFormat="1" applyFont="1" applyAlignment="1">
      <alignment horizontal="center" vertical="center"/>
    </xf>
    <xf numFmtId="4" fontId="4" fillId="0" borderId="0" xfId="2" applyNumberFormat="1" applyFont="1" applyBorder="1" applyAlignment="1">
      <alignment horizontal="center" vertical="center"/>
    </xf>
    <xf numFmtId="178" fontId="4" fillId="0" borderId="16" xfId="2" applyNumberFormat="1" applyFont="1" applyBorder="1" applyAlignment="1">
      <alignment horizontal="center" vertical="center"/>
    </xf>
    <xf numFmtId="3" fontId="4" fillId="0" borderId="13" xfId="2" applyNumberFormat="1" applyFont="1" applyBorder="1" applyAlignment="1">
      <alignment horizontal="center" vertical="center"/>
    </xf>
    <xf numFmtId="3" fontId="4" fillId="0" borderId="12" xfId="2" applyNumberFormat="1" applyFont="1" applyBorder="1" applyAlignment="1">
      <alignment horizontal="center" vertical="center"/>
    </xf>
    <xf numFmtId="3" fontId="4" fillId="0" borderId="0" xfId="2" applyNumberFormat="1" applyFont="1" applyBorder="1" applyAlignment="1">
      <alignment vertical="center"/>
    </xf>
    <xf numFmtId="4" fontId="4" fillId="0" borderId="0" xfId="2" applyNumberFormat="1" applyFont="1" applyBorder="1" applyAlignment="1">
      <alignment vertical="center"/>
    </xf>
    <xf numFmtId="2" fontId="4" fillId="0" borderId="0" xfId="2" applyNumberFormat="1" applyFont="1" applyBorder="1" applyAlignment="1">
      <alignment vertical="center"/>
    </xf>
    <xf numFmtId="2" fontId="4" fillId="0" borderId="15" xfId="2" applyNumberFormat="1" applyFont="1" applyBorder="1" applyAlignment="1">
      <alignment vertical="center"/>
    </xf>
    <xf numFmtId="3" fontId="4" fillId="2" borderId="0" xfId="2" applyNumberFormat="1" applyFont="1" applyFill="1" applyBorder="1" applyAlignment="1">
      <alignment horizontal="center" vertical="center"/>
    </xf>
    <xf numFmtId="2" fontId="4" fillId="2" borderId="0" xfId="2" applyNumberFormat="1" applyFont="1" applyFill="1" applyBorder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180" fontId="4" fillId="2" borderId="0" xfId="4" applyNumberFormat="1" applyFont="1" applyFill="1" applyAlignment="1">
      <alignment horizontal="center" vertical="center"/>
    </xf>
    <xf numFmtId="177" fontId="4" fillId="0" borderId="16" xfId="2" applyNumberFormat="1" applyFont="1" applyBorder="1" applyAlignment="1">
      <alignment vertical="center"/>
    </xf>
    <xf numFmtId="0" fontId="4" fillId="2" borderId="13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4" fillId="0" borderId="15" xfId="2" applyFont="1" applyBorder="1" applyAlignment="1">
      <alignment vertical="center"/>
    </xf>
    <xf numFmtId="0" fontId="16" fillId="3" borderId="0" xfId="3" applyFont="1" applyFill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4" fontId="4" fillId="0" borderId="0" xfId="2" applyNumberFormat="1" applyFont="1" applyAlignment="1">
      <alignment horizontal="center" vertical="center"/>
    </xf>
    <xf numFmtId="0" fontId="19" fillId="11" borderId="0" xfId="5" applyFont="1" applyFill="1">
      <alignment vertical="center"/>
    </xf>
    <xf numFmtId="0" fontId="18" fillId="0" borderId="0" xfId="5">
      <alignment vertical="center"/>
    </xf>
    <xf numFmtId="0" fontId="21" fillId="0" borderId="0" xfId="5" applyFont="1" applyAlignment="1">
      <alignment horizontal="right" vertical="center"/>
    </xf>
    <xf numFmtId="0" fontId="23" fillId="3" borderId="0" xfId="6" applyFont="1" applyFill="1" applyAlignment="1">
      <alignment horizontal="center" vertical="center"/>
    </xf>
    <xf numFmtId="0" fontId="18" fillId="0" borderId="12" xfId="5" applyBorder="1">
      <alignment vertical="center"/>
    </xf>
    <xf numFmtId="0" fontId="18" fillId="0" borderId="0" xfId="5" applyAlignment="1">
      <alignment horizontal="right" vertical="center"/>
    </xf>
    <xf numFmtId="0" fontId="24" fillId="0" borderId="0" xfId="5" applyFont="1">
      <alignment vertical="center"/>
    </xf>
    <xf numFmtId="0" fontId="25" fillId="0" borderId="0" xfId="5" applyFont="1">
      <alignment vertical="center"/>
    </xf>
    <xf numFmtId="0" fontId="18" fillId="0" borderId="28" xfId="5" applyBorder="1">
      <alignment vertical="center"/>
    </xf>
    <xf numFmtId="0" fontId="18" fillId="0" borderId="9" xfId="5" applyBorder="1" applyAlignment="1">
      <alignment horizontal="right" vertical="center"/>
    </xf>
    <xf numFmtId="0" fontId="18" fillId="0" borderId="0" xfId="5" applyFill="1" applyBorder="1" applyAlignment="1">
      <alignment horizontal="right" vertical="center"/>
    </xf>
    <xf numFmtId="0" fontId="26" fillId="0" borderId="0" xfId="5" applyFont="1">
      <alignment vertical="center"/>
    </xf>
    <xf numFmtId="0" fontId="27" fillId="0" borderId="0" xfId="5" applyFont="1" applyAlignment="1">
      <alignment horizontal="left" vertical="center"/>
    </xf>
    <xf numFmtId="14" fontId="18" fillId="0" borderId="12" xfId="5" applyNumberFormat="1" applyBorder="1">
      <alignment vertical="center"/>
    </xf>
    <xf numFmtId="181" fontId="18" fillId="0" borderId="0" xfId="5" applyNumberFormat="1">
      <alignment vertical="center"/>
    </xf>
    <xf numFmtId="181" fontId="18" fillId="12" borderId="0" xfId="5" applyNumberFormat="1" applyFill="1">
      <alignment vertical="center"/>
    </xf>
    <xf numFmtId="182" fontId="18" fillId="0" borderId="0" xfId="5" applyNumberFormat="1">
      <alignment vertical="center"/>
    </xf>
    <xf numFmtId="181" fontId="26" fillId="0" borderId="0" xfId="5" applyNumberFormat="1" applyFont="1">
      <alignment vertical="center"/>
    </xf>
    <xf numFmtId="0" fontId="18" fillId="0" borderId="1" xfId="5" applyBorder="1" applyAlignment="1">
      <alignment horizontal="left" vertical="center"/>
    </xf>
    <xf numFmtId="0" fontId="18" fillId="0" borderId="0" xfId="5" applyAlignment="1">
      <alignment horizontal="left" vertical="center"/>
    </xf>
    <xf numFmtId="14" fontId="18" fillId="0" borderId="0" xfId="5" applyNumberFormat="1" applyAlignment="1">
      <alignment horizontal="left" vertical="center"/>
    </xf>
    <xf numFmtId="0" fontId="18" fillId="0" borderId="2" xfId="5" applyBorder="1" applyAlignment="1">
      <alignment horizontal="left" vertical="center"/>
    </xf>
    <xf numFmtId="0" fontId="28" fillId="0" borderId="1" xfId="5" applyFont="1" applyBorder="1" applyAlignment="1">
      <alignment horizontal="right" vertical="center"/>
    </xf>
    <xf numFmtId="49" fontId="18" fillId="0" borderId="29" xfId="5" applyNumberFormat="1" applyBorder="1">
      <alignment vertical="center"/>
    </xf>
    <xf numFmtId="49" fontId="18" fillId="0" borderId="1" xfId="5" applyNumberFormat="1" applyBorder="1">
      <alignment vertical="center"/>
    </xf>
    <xf numFmtId="0" fontId="26" fillId="13" borderId="0" xfId="5" applyFont="1" applyFill="1">
      <alignment vertical="center"/>
    </xf>
    <xf numFmtId="0" fontId="18" fillId="13" borderId="0" xfId="5" applyFill="1">
      <alignment vertical="center"/>
    </xf>
    <xf numFmtId="0" fontId="28" fillId="0" borderId="0" xfId="5" applyFont="1" applyBorder="1" applyAlignment="1">
      <alignment horizontal="right" vertical="center"/>
    </xf>
    <xf numFmtId="49" fontId="18" fillId="0" borderId="30" xfId="5" applyNumberFormat="1" applyBorder="1">
      <alignment vertical="center"/>
    </xf>
    <xf numFmtId="49" fontId="18" fillId="0" borderId="2" xfId="5" applyNumberFormat="1" applyBorder="1">
      <alignment vertical="center"/>
    </xf>
    <xf numFmtId="181" fontId="29" fillId="0" borderId="0" xfId="5" applyNumberFormat="1" applyFont="1">
      <alignment vertical="center"/>
    </xf>
    <xf numFmtId="0" fontId="28" fillId="0" borderId="5" xfId="5" applyFont="1" applyBorder="1" applyAlignment="1">
      <alignment horizontal="right" vertical="center"/>
    </xf>
    <xf numFmtId="49" fontId="18" fillId="0" borderId="0" xfId="5" applyNumberFormat="1">
      <alignment vertical="center"/>
    </xf>
    <xf numFmtId="0" fontId="18" fillId="0" borderId="0" xfId="5" applyBorder="1" applyAlignment="1">
      <alignment horizontal="left" vertical="center"/>
    </xf>
    <xf numFmtId="3" fontId="29" fillId="2" borderId="0" xfId="7" applyNumberFormat="1" applyFont="1" applyFill="1">
      <alignment vertical="center"/>
    </xf>
    <xf numFmtId="181" fontId="26" fillId="2" borderId="0" xfId="5" applyNumberFormat="1" applyFont="1" applyFill="1">
      <alignment vertical="center"/>
    </xf>
    <xf numFmtId="0" fontId="18" fillId="2" borderId="0" xfId="5" applyFill="1">
      <alignment vertical="center"/>
    </xf>
    <xf numFmtId="41" fontId="24" fillId="2" borderId="0" xfId="5" applyNumberFormat="1" applyFont="1" applyFill="1">
      <alignment vertical="center"/>
    </xf>
    <xf numFmtId="0" fontId="18" fillId="0" borderId="0" xfId="5" applyBorder="1">
      <alignment vertical="center"/>
    </xf>
    <xf numFmtId="0" fontId="18" fillId="0" borderId="14" xfId="5" applyBorder="1">
      <alignment vertical="center"/>
    </xf>
    <xf numFmtId="0" fontId="18" fillId="0" borderId="2" xfId="5" applyBorder="1" applyAlignment="1">
      <alignment horizontal="center" vertical="center"/>
    </xf>
    <xf numFmtId="0" fontId="18" fillId="0" borderId="2" xfId="5" applyBorder="1">
      <alignment vertical="center"/>
    </xf>
    <xf numFmtId="0" fontId="18" fillId="0" borderId="4" xfId="5" applyBorder="1">
      <alignment vertical="center"/>
    </xf>
    <xf numFmtId="0" fontId="18" fillId="0" borderId="0" xfId="5" applyAlignment="1">
      <alignment horizontal="center" vertical="center"/>
    </xf>
    <xf numFmtId="3" fontId="18" fillId="0" borderId="0" xfId="5" applyNumberFormat="1" applyAlignment="1">
      <alignment horizontal="right" vertical="center"/>
    </xf>
    <xf numFmtId="14" fontId="18" fillId="0" borderId="0" xfId="5" applyNumberFormat="1" applyAlignment="1">
      <alignment horizontal="center" vertical="center"/>
    </xf>
    <xf numFmtId="4" fontId="18" fillId="0" borderId="0" xfId="5" applyNumberFormat="1" applyAlignment="1">
      <alignment horizontal="right" vertical="center"/>
    </xf>
    <xf numFmtId="183" fontId="18" fillId="0" borderId="0" xfId="5" applyNumberFormat="1">
      <alignment vertical="center"/>
    </xf>
    <xf numFmtId="4" fontId="18" fillId="0" borderId="0" xfId="5" applyNumberFormat="1">
      <alignment vertical="center"/>
    </xf>
    <xf numFmtId="3" fontId="18" fillId="0" borderId="0" xfId="5" applyNumberFormat="1">
      <alignment vertical="center"/>
    </xf>
    <xf numFmtId="0" fontId="18" fillId="0" borderId="0" xfId="5" applyBorder="1" applyAlignment="1">
      <alignment horizontal="right" vertical="center"/>
    </xf>
    <xf numFmtId="14" fontId="18" fillId="0" borderId="0" xfId="5" applyNumberFormat="1">
      <alignment vertical="center"/>
    </xf>
    <xf numFmtId="182" fontId="18" fillId="2" borderId="0" xfId="5" applyNumberFormat="1" applyFill="1">
      <alignment vertical="center"/>
    </xf>
    <xf numFmtId="182" fontId="18" fillId="0" borderId="0" xfId="5" applyNumberFormat="1" applyFill="1">
      <alignment vertical="center"/>
    </xf>
    <xf numFmtId="1" fontId="18" fillId="0" borderId="0" xfId="5" applyNumberFormat="1">
      <alignment vertical="center"/>
    </xf>
    <xf numFmtId="184" fontId="18" fillId="0" borderId="0" xfId="5" applyNumberFormat="1">
      <alignment vertical="center"/>
    </xf>
    <xf numFmtId="0" fontId="18" fillId="11" borderId="0" xfId="5" applyFill="1">
      <alignment vertical="center"/>
    </xf>
    <xf numFmtId="178" fontId="18" fillId="0" borderId="0" xfId="5" applyNumberFormat="1" applyAlignment="1">
      <alignment horizontal="right" vertical="center"/>
    </xf>
    <xf numFmtId="178" fontId="18" fillId="0" borderId="0" xfId="5" applyNumberFormat="1">
      <alignment vertical="center"/>
    </xf>
    <xf numFmtId="0" fontId="18" fillId="0" borderId="0" xfId="5" applyFill="1">
      <alignment vertical="center"/>
    </xf>
    <xf numFmtId="0" fontId="4" fillId="14" borderId="0" xfId="2" applyFont="1" applyFill="1" applyAlignment="1">
      <alignment horizontal="center" vertical="center"/>
    </xf>
    <xf numFmtId="0" fontId="30" fillId="3" borderId="0" xfId="1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0" xfId="5" applyFont="1">
      <alignment vertical="center"/>
    </xf>
    <xf numFmtId="0" fontId="4" fillId="0" borderId="0" xfId="2" applyFont="1" applyAlignment="1">
      <alignment horizontal="center" vertical="center"/>
    </xf>
    <xf numFmtId="0" fontId="11" fillId="4" borderId="0" xfId="2" applyFont="1" applyFill="1" applyBorder="1" applyAlignment="1">
      <alignment horizontal="center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9" xfId="2" applyFont="1" applyFill="1" applyBorder="1" applyAlignment="1">
      <alignment horizontal="center" vertical="center"/>
    </xf>
    <xf numFmtId="0" fontId="11" fillId="5" borderId="7" xfId="2" applyFont="1" applyFill="1" applyBorder="1" applyAlignment="1">
      <alignment horizontal="center" vertical="center"/>
    </xf>
    <xf numFmtId="0" fontId="11" fillId="5" borderId="6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11" fillId="5" borderId="10" xfId="2" applyFont="1" applyFill="1" applyBorder="1" applyAlignment="1">
      <alignment horizontal="center" vertical="center"/>
    </xf>
    <xf numFmtId="0" fontId="11" fillId="5" borderId="9" xfId="2" applyFont="1" applyFill="1" applyBorder="1" applyAlignment="1">
      <alignment horizontal="center" vertical="center"/>
    </xf>
    <xf numFmtId="0" fontId="11" fillId="5" borderId="11" xfId="2" applyFont="1" applyFill="1" applyBorder="1" applyAlignment="1">
      <alignment horizontal="center" vertical="center"/>
    </xf>
    <xf numFmtId="0" fontId="4" fillId="6" borderId="0" xfId="2" applyFont="1" applyFill="1" applyBorder="1" applyAlignment="1">
      <alignment horizontal="center" vertical="center"/>
    </xf>
    <xf numFmtId="0" fontId="4" fillId="6" borderId="12" xfId="2" applyFont="1" applyFill="1" applyBorder="1" applyAlignment="1">
      <alignment horizontal="center" vertical="center"/>
    </xf>
    <xf numFmtId="0" fontId="4" fillId="7" borderId="13" xfId="2" applyFont="1" applyFill="1" applyBorder="1" applyAlignment="1">
      <alignment horizontal="center" vertical="center"/>
    </xf>
    <xf numFmtId="0" fontId="4" fillId="7" borderId="0" xfId="2" applyFont="1" applyFill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8" borderId="20" xfId="2" applyFont="1" applyFill="1" applyBorder="1" applyAlignment="1">
      <alignment horizontal="center" vertical="center"/>
    </xf>
    <xf numFmtId="0" fontId="4" fillId="8" borderId="2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</cellXfs>
  <cellStyles count="8">
    <cellStyle name="쉼표 [0] 2" xfId="4" xr:uid="{EA57B1F5-2621-4CE6-A469-EB41E734F2E2}"/>
    <cellStyle name="쉼표 [0] 3" xfId="7" xr:uid="{33C8D620-434D-4082-BAF8-3F490D4A0EC0}"/>
    <cellStyle name="표준" xfId="0" builtinId="0"/>
    <cellStyle name="표준 2" xfId="2" xr:uid="{8B7C9BD3-E418-461E-B44D-F97208C4D8A6}"/>
    <cellStyle name="표준 3" xfId="5" xr:uid="{6B7AA91D-D233-47D5-A337-19590FB95907}"/>
    <cellStyle name="하이퍼링크" xfId="1" builtinId="8"/>
    <cellStyle name="하이퍼링크 2" xfId="3" xr:uid="{7BBE22B3-5B32-4B8D-AB68-468FB86248A9}"/>
    <cellStyle name="하이퍼링크 3" xfId="6" xr:uid="{10148A2F-6BBF-454C-B50B-FC0AADA91518}"/>
  </cellStyles>
  <dxfs count="0"/>
  <tableStyles count="0" defaultTableStyle="TableStyleMedium2" defaultPivotStyle="PivotStyleLight16"/>
  <colors>
    <mruColors>
      <color rgb="FFBFBFBF"/>
      <color rgb="FFF0B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9123931623932"/>
          <c:y val="0.10818518518518519"/>
          <c:w val="0.85449572649572647"/>
          <c:h val="0.6921896296296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'1'!$K$4</c:f>
              <c:strCache>
                <c:ptCount val="1"/>
                <c:pt idx="0">
                  <c:v>2026년 ROE</c:v>
                </c:pt>
              </c:strCache>
            </c:strRef>
          </c:tx>
          <c:spPr>
            <a:solidFill>
              <a:srgbClr val="F0B26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KoPub돋움체_Pro Medium" panose="02020603020101020101" pitchFamily="18" charset="-127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'1'!$I$5:$J$8</c:f>
              <c:multiLvlStrCache>
                <c:ptCount val="4"/>
                <c:lvl>
                  <c:pt idx="0">
                    <c:v>12.1%(현재)</c:v>
                  </c:pt>
                  <c:pt idx="1">
                    <c:v>30%</c:v>
                  </c:pt>
                  <c:pt idx="2">
                    <c:v>40%</c:v>
                  </c:pt>
                  <c:pt idx="3">
                    <c:v>50%</c:v>
                  </c:pt>
                </c:lvl>
                <c:lvl>
                  <c:pt idx="0">
                    <c:v>배당성향 가정에 따른 코스피 ROE 변화</c:v>
                  </c:pt>
                </c:lvl>
              </c:multiLvlStrCache>
            </c:multiLvlStrRef>
          </c:cat>
          <c:val>
            <c:numRef>
              <c:f>'1'!$K$5:$K$8</c:f>
              <c:numCache>
                <c:formatCode>0.0</c:formatCode>
                <c:ptCount val="4"/>
                <c:pt idx="0">
                  <c:v>17.541580867014329</c:v>
                </c:pt>
                <c:pt idx="1">
                  <c:v>18.109649707310886</c:v>
                </c:pt>
                <c:pt idx="2">
                  <c:v>18.443657891039084</c:v>
                </c:pt>
                <c:pt idx="3">
                  <c:v>18.790218248105095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7-426A-81C7-1FC940FCF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07680"/>
        <c:axId val="2037050512"/>
      </c:barChart>
      <c:catAx>
        <c:axId val="1154307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2037050512"/>
        <c:crosses val="autoZero"/>
        <c:auto val="1"/>
        <c:lblAlgn val="ctr"/>
        <c:lblOffset val="100"/>
        <c:noMultiLvlLbl val="0"/>
      </c:catAx>
      <c:valAx>
        <c:axId val="2037050512"/>
        <c:scaling>
          <c:orientation val="minMax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1154307680"/>
        <c:crosses val="autoZero"/>
        <c:crossBetween val="between"/>
        <c:majorUnit val="0.5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KoPub돋움체_Pro Medium" panose="02020603020101020101" pitchFamily="18" charset="-127"/>
          <a:ea typeface="KoPub돋움체_Pro Medium" panose="02020603020101020101" pitchFamily="18" charset="-127"/>
          <a:cs typeface="KoPub돋움체_Pro Medium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71388623151079"/>
          <c:y val="0.1192903909161661"/>
          <c:w val="0.83428819061168769"/>
          <c:h val="0.73048340911428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'1'!$E$5</c:f>
              <c:strCache>
                <c:ptCount val="1"/>
                <c:pt idx="0">
                  <c:v>자사주 소각전</c:v>
                </c:pt>
              </c:strCache>
            </c:strRef>
          </c:tx>
          <c:spPr>
            <a:solidFill>
              <a:srgbClr val="8488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'1'!$F$4:$G$4</c:f>
              <c:strCache>
                <c:ptCount val="2"/>
                <c:pt idx="0">
                  <c:v>P/E</c:v>
                </c:pt>
                <c:pt idx="1">
                  <c:v>P/B</c:v>
                </c:pt>
              </c:strCache>
            </c:strRef>
          </c:cat>
          <c:val>
            <c:numRef>
              <c:f>'1'!$F$5:$G$5</c:f>
              <c:numCache>
                <c:formatCode>0.00</c:formatCode>
                <c:ptCount val="2"/>
                <c:pt idx="0">
                  <c:v>9.2173200307838297</c:v>
                </c:pt>
                <c:pt idx="1">
                  <c:v>1.6056648267863842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F-4768-9910-B0AB75F08C25}"/>
            </c:ext>
          </c:extLst>
        </c:ser>
        <c:ser>
          <c:idx val="1"/>
          <c:order val="1"/>
          <c:tx>
            <c:strRef>
              <c:f>'1'!$E$6</c:f>
              <c:strCache>
                <c:ptCount val="1"/>
                <c:pt idx="0">
                  <c:v>자사주 소각후</c:v>
                </c:pt>
              </c:strCache>
            </c:strRef>
          </c:tx>
          <c:spPr>
            <a:solidFill>
              <a:srgbClr val="F0B26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'1'!$F$4:$G$4</c:f>
              <c:strCache>
                <c:ptCount val="2"/>
                <c:pt idx="0">
                  <c:v>P/E</c:v>
                </c:pt>
                <c:pt idx="1">
                  <c:v>P/B</c:v>
                </c:pt>
              </c:strCache>
            </c:strRef>
          </c:cat>
          <c:val>
            <c:numRef>
              <c:f>'1'!$F$6:$G$6</c:f>
              <c:numCache>
                <c:formatCode>0.00</c:formatCode>
                <c:ptCount val="2"/>
                <c:pt idx="0">
                  <c:v>8.9123267315805705</c:v>
                </c:pt>
                <c:pt idx="1">
                  <c:v>1.5525347400257359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F-4768-9910-B0AB75F0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07680"/>
        <c:axId val="2037050512"/>
      </c:barChart>
      <c:catAx>
        <c:axId val="1154307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2037050512"/>
        <c:crosses val="autoZero"/>
        <c:auto val="1"/>
        <c:lblAlgn val="ctr"/>
        <c:lblOffset val="100"/>
        <c:noMultiLvlLbl val="0"/>
      </c:catAx>
      <c:valAx>
        <c:axId val="2037050512"/>
        <c:scaling>
          <c:orientation val="minMax"/>
        </c:scaling>
        <c:delete val="0"/>
        <c:axPos val="l"/>
        <c:numFmt formatCode="#,##0.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1154307680"/>
        <c:crosses val="autoZero"/>
        <c:crossBetween val="between"/>
        <c:majorUnit val="2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Arial Narrow" panose="020B0606020202030204" pitchFamily="34" charset="0"/>
          <a:ea typeface="KoPub돋움체_Pro Medium" panose="02020603020101020101" pitchFamily="18" charset="-127"/>
          <a:cs typeface="KoPub돋움체_Pro Medium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9123931623932"/>
          <c:y val="0.10818518518518519"/>
          <c:w val="0.85449572649572647"/>
          <c:h val="0.69218962962962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0B26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Arial Narrow"/>
                    <a:cs typeface="Arial Narrow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'1'!$M$5:$N$8</c:f>
              <c:multiLvlStrCache>
                <c:ptCount val="4"/>
                <c:lvl>
                  <c:pt idx="0">
                    <c:v>12.1% (current)</c:v>
                  </c:pt>
                  <c:pt idx="1">
                    <c:v>30%</c:v>
                  </c:pt>
                  <c:pt idx="2">
                    <c:v>40%</c:v>
                  </c:pt>
                  <c:pt idx="3">
                    <c:v>50%</c:v>
                  </c:pt>
                </c:lvl>
                <c:lvl>
                  <c:pt idx="0">
                    <c:v>KOSPI ROE under diff. dividend payout ratio asumptions
</c:v>
                  </c:pt>
                </c:lvl>
              </c:multiLvlStrCache>
            </c:multiLvlStrRef>
          </c:cat>
          <c:val>
            <c:numRef>
              <c:f>'1'!$O$5:$O$8</c:f>
              <c:numCache>
                <c:formatCode>0.0</c:formatCode>
                <c:ptCount val="4"/>
                <c:pt idx="0">
                  <c:v>17.541580867014329</c:v>
                </c:pt>
                <c:pt idx="1">
                  <c:v>18.109649707310886</c:v>
                </c:pt>
                <c:pt idx="2">
                  <c:v>18.443657891039084</c:v>
                </c:pt>
                <c:pt idx="3">
                  <c:v>18.790218248105095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3-4C3F-ABEF-E2F71A503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07680"/>
        <c:axId val="2037050512"/>
      </c:barChart>
      <c:catAx>
        <c:axId val="1154307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2037050512"/>
        <c:crosses val="autoZero"/>
        <c:auto val="1"/>
        <c:lblAlgn val="ctr"/>
        <c:lblOffset val="100"/>
        <c:noMultiLvlLbl val="0"/>
      </c:catAx>
      <c:valAx>
        <c:axId val="2037050512"/>
        <c:scaling>
          <c:orientation val="minMax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1154307680"/>
        <c:crosses val="autoZero"/>
        <c:crossBetween val="between"/>
        <c:majorUnit val="0.5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Arial Narrow" panose="020B0606020202030204" pitchFamily="34" charset="0"/>
          <a:ea typeface="Arial Narrow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94459641183996E-2"/>
          <c:y val="0.10047454723660001"/>
          <c:w val="0.91931403471154183"/>
          <c:h val="0.818850292397660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'2'!$C$92</c:f>
              <c:strCache>
                <c:ptCount val="1"/>
                <c:pt idx="0">
                  <c:v>배당액</c:v>
                </c:pt>
              </c:strCache>
            </c:strRef>
          </c:tx>
          <c:spPr>
            <a:solidFill>
              <a:srgbClr val="F0B26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13"/>
              <c:layout>
                <c:manualLayout>
                  <c:x val="0"/>
                  <c:y val="-3.24014661936806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55-4126-B099-2D3D9172467D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55-4126-B099-2D3D917246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KoPub돋움체_Pro Medium" panose="02020603020101020101" pitchFamily="18" charset="-127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'2'!$B$93:$B$107</c:f>
              <c:strCache>
                <c:ptCount val="1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25F</c:v>
                </c:pt>
                <c:pt idx="14">
                  <c:v>26F</c:v>
                </c:pt>
              </c:strCache>
            </c:strRef>
          </c:cat>
          <c:val>
            <c:numRef>
              <c:f>'2'!$C$93:$C$107</c:f>
              <c:numCache>
                <c:formatCode>#,##0.0_ </c:formatCode>
                <c:ptCount val="15"/>
                <c:pt idx="0">
                  <c:v>12.202299999999999</c:v>
                </c:pt>
                <c:pt idx="1">
                  <c:v>11.73812</c:v>
                </c:pt>
                <c:pt idx="2">
                  <c:v>14.581760000000001</c:v>
                </c:pt>
                <c:pt idx="3">
                  <c:v>19.192790000000002</c:v>
                </c:pt>
                <c:pt idx="4">
                  <c:v>20.762080000000001</c:v>
                </c:pt>
                <c:pt idx="5">
                  <c:v>25.035790000000002</c:v>
                </c:pt>
                <c:pt idx="6">
                  <c:v>28.957380000000001</c:v>
                </c:pt>
                <c:pt idx="7">
                  <c:v>28.228860000000001</c:v>
                </c:pt>
                <c:pt idx="8">
                  <c:v>38.247309999999999</c:v>
                </c:pt>
                <c:pt idx="9">
                  <c:v>37.271209999999996</c:v>
                </c:pt>
                <c:pt idx="10">
                  <c:v>37.280670000000001</c:v>
                </c:pt>
                <c:pt idx="11">
                  <c:v>38.936900000000001</c:v>
                </c:pt>
                <c:pt idx="12">
                  <c:v>43.265129999999999</c:v>
                </c:pt>
                <c:pt idx="13">
                  <c:v>47.13899</c:v>
                </c:pt>
                <c:pt idx="14">
                  <c:v>58.614629999999998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5-4126-B099-2D3D9172467D}"/>
            </c:ext>
          </c:extLst>
        </c:ser>
        <c:ser>
          <c:idx val="1"/>
          <c:order val="1"/>
          <c:tx>
            <c:strRef>
              <c:f>'2'!$D$92</c:f>
              <c:strCache>
                <c:ptCount val="1"/>
                <c:pt idx="0">
                  <c:v>자사주 매입액</c:v>
                </c:pt>
              </c:strCache>
            </c:strRef>
          </c:tx>
          <c:spPr>
            <a:solidFill>
              <a:srgbClr val="BFBFBF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55-4126-B099-2D3D9172467D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55-4126-B099-2D3D917246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KoPub돋움체_Pro Medium" panose="02020603020101020101" pitchFamily="18" charset="-127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'2'!$B$93:$B$107</c:f>
              <c:strCache>
                <c:ptCount val="1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25F</c:v>
                </c:pt>
                <c:pt idx="14">
                  <c:v>26F</c:v>
                </c:pt>
              </c:strCache>
            </c:strRef>
          </c:cat>
          <c:val>
            <c:numRef>
              <c:f>'2'!$D$93:$D$107</c:f>
              <c:numCache>
                <c:formatCode>#,##0.0_ </c:formatCode>
                <c:ptCount val="15"/>
                <c:pt idx="0">
                  <c:v>1.5952071805150001</c:v>
                </c:pt>
                <c:pt idx="1">
                  <c:v>1.445950572606</c:v>
                </c:pt>
                <c:pt idx="2">
                  <c:v>3.2276331543780001</c:v>
                </c:pt>
                <c:pt idx="3">
                  <c:v>10.675211055713</c:v>
                </c:pt>
                <c:pt idx="4">
                  <c:v>8.6017451074729987</c:v>
                </c:pt>
                <c:pt idx="5">
                  <c:v>7.6501914391850008</c:v>
                </c:pt>
                <c:pt idx="6">
                  <c:v>4.9579072430720004</c:v>
                </c:pt>
                <c:pt idx="7">
                  <c:v>2.5980707083839998</c:v>
                </c:pt>
                <c:pt idx="8">
                  <c:v>2.8843293037470001</c:v>
                </c:pt>
                <c:pt idx="9">
                  <c:v>1.8232304307980001</c:v>
                </c:pt>
                <c:pt idx="10">
                  <c:v>2.5737204856519997</c:v>
                </c:pt>
                <c:pt idx="11">
                  <c:v>3.3846270684559996</c:v>
                </c:pt>
                <c:pt idx="12">
                  <c:v>7.4631594091060007</c:v>
                </c:pt>
                <c:pt idx="13">
                  <c:v>14.860698783974</c:v>
                </c:pt>
                <c:pt idx="14">
                  <c:v>7.2290092352180002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5-4126-B099-2D3D91724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2688560"/>
        <c:axId val="413903840"/>
      </c:barChart>
      <c:catAx>
        <c:axId val="33268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413903840"/>
        <c:crosses val="autoZero"/>
        <c:auto val="1"/>
        <c:lblAlgn val="ctr"/>
        <c:lblOffset val="100"/>
        <c:noMultiLvlLbl val="0"/>
      </c:catAx>
      <c:valAx>
        <c:axId val="413903840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332688560"/>
        <c:crosses val="autoZero"/>
        <c:crossBetween val="between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KoPub돋움체_Pro Medium" panose="02020603020101020101" pitchFamily="18" charset="-127"/>
              <a:ea typeface="KoPub돋움체_Pro Medium" panose="02020603020101020101" pitchFamily="18" charset="-127"/>
              <a:cs typeface="KoPub돋움체_Pro Medium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KoPub돋움체_Pro Medium" panose="02020603020101020101" pitchFamily="18" charset="-127"/>
          <a:ea typeface="KoPub돋움체_Pro Medium" panose="02020603020101020101" pitchFamily="18" charset="-127"/>
          <a:cs typeface="KoPub돋움체_Pro Medium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8.1695906432748544E-2"/>
          <c:w val="1"/>
          <c:h val="0.914590643274853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'2'!$V$10</c:f>
              <c:strCache>
                <c:ptCount val="1"/>
                <c:pt idx="0">
                  <c:v>삼성전자(L)</c:v>
                </c:pt>
              </c:strCache>
            </c:strRef>
          </c:tx>
          <c:spPr>
            <a:solidFill>
              <a:srgbClr val="84888B"/>
            </a:solidFill>
            <a:ln>
              <a:solidFill>
                <a:sysClr val="window" lastClr="FFFFFF"/>
              </a:solidFill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B7-421B-A3A7-4D09D29141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7-421B-A3A7-4D09D29141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7-421B-A3A7-4D09D29141D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B7-421B-A3A7-4D09D29141D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B7-421B-A3A7-4D09D29141D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B7-421B-A3A7-4D09D29141D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B7-421B-A3A7-4D09D29141DC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KoPub돋움체_Pro Medium" panose="02020603020101020101" pitchFamily="18" charset="-127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'2'!$N$12:$N$21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26.03</c:v>
                </c:pt>
              </c:numCache>
            </c:numRef>
          </c:cat>
          <c:val>
            <c:numRef>
              <c:f>'2'!$V$12:$V$21</c:f>
              <c:numCache>
                <c:formatCode>General</c:formatCode>
                <c:ptCount val="10"/>
                <c:pt idx="0">
                  <c:v>26.289110733000001</c:v>
                </c:pt>
                <c:pt idx="1">
                  <c:v>21.266129987500001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2.9434896636000003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B7-421B-A3A7-4D09D29141DC}"/>
            </c:ext>
          </c:extLst>
        </c:ser>
        <c:ser>
          <c:idx val="1"/>
          <c:order val="1"/>
          <c:tx>
            <c:strRef>
              <c:f>'2'!$W$10</c:f>
              <c:strCache>
                <c:ptCount val="1"/>
                <c:pt idx="0">
                  <c:v>자사주 소각액(삼전 제외, L)</c:v>
                </c:pt>
              </c:strCache>
            </c:strRef>
          </c:tx>
          <c:spPr>
            <a:solidFill>
              <a:srgbClr val="B5B7B9"/>
            </a:solidFill>
            <a:ln>
              <a:solidFill>
                <a:sysClr val="window" lastClr="FFFFFF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-2.4811280448840676E-17"/>
                  <c:y val="-1.3680263867514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B7-421B-A3A7-4D09D29141DC}"/>
                </c:ext>
              </c:extLst>
            </c:dLbl>
            <c:dLbl>
              <c:idx val="2"/>
              <c:layout>
                <c:manualLayout>
                  <c:x val="0"/>
                  <c:y val="-3.3474327709275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B7-421B-A3A7-4D09D29141DC}"/>
                </c:ext>
              </c:extLst>
            </c:dLbl>
            <c:dLbl>
              <c:idx val="3"/>
              <c:layout>
                <c:manualLayout>
                  <c:x val="0"/>
                  <c:y val="-4.0913067200225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B7-421B-A3A7-4D09D29141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KoPub돋움체_Pro Medium" panose="02020603020101020101" pitchFamily="18" charset="-127"/>
                    <a:ea typeface="KoPub돋움체_Pro Medium" panose="02020603020101020101" pitchFamily="18" charset="-127"/>
                    <a:cs typeface="KoPub돋움체_Pro Medium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'2'!$N$12:$N$21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26.03</c:v>
                </c:pt>
              </c:numCache>
            </c:numRef>
          </c:cat>
          <c:val>
            <c:numRef>
              <c:f>'2'!$W$12:$W$21</c:f>
              <c:numCache>
                <c:formatCode>#,##0.0_ </c:formatCode>
                <c:ptCount val="10"/>
                <c:pt idx="0">
                  <c:v>0.51669929235000822</c:v>
                </c:pt>
                <c:pt idx="1">
                  <c:v>1.3441070673500022</c:v>
                </c:pt>
                <c:pt idx="2">
                  <c:v>0.65601038239999998</c:v>
                </c:pt>
                <c:pt idx="3">
                  <c:v>1.1709390756949998</c:v>
                </c:pt>
                <c:pt idx="4">
                  <c:v>3.1523917470499998</c:v>
                </c:pt>
                <c:pt idx="5">
                  <c:v>2.7305015256500003</c:v>
                </c:pt>
                <c:pt idx="6">
                  <c:v>4.3384254592289997</c:v>
                </c:pt>
                <c:pt idx="7">
                  <c:v>12.343087856494998</c:v>
                </c:pt>
                <c:pt idx="8">
                  <c:v>19.692836467096004</c:v>
                </c:pt>
                <c:pt idx="9">
                  <c:v>7.7819589019120006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B7-421B-A3A7-4D09D291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272360"/>
        <c:axId val="1304280888"/>
      </c:barChart>
      <c:lineChart>
        <c:grouping val="standard"/>
        <c:varyColors val="0"/>
        <c:ser>
          <c:idx val="2"/>
          <c:order val="2"/>
          <c:tx>
            <c:strRef>
              <c:f>'2'!$T$11</c:f>
              <c:strCache>
                <c:ptCount val="1"/>
                <c:pt idx="0">
                  <c:v>자사주 매입 공시건수(R)</c:v>
                </c:pt>
              </c:strCache>
            </c:strRef>
          </c:tx>
          <c:spPr>
            <a:ln w="19050" cap="rnd">
              <a:solidFill>
                <a:srgbClr val="F5822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58220"/>
              </a:solidFill>
              <a:ln w="19050">
                <a:solidFill>
                  <a:srgbClr val="F58220"/>
                </a:solidFill>
                <a:prstDash val="solid"/>
              </a:ln>
              <a:effectLst/>
            </c:spPr>
          </c:marker>
          <c:val>
            <c:numRef>
              <c:f>'2'!$T$12:$T$21</c:f>
              <c:numCache>
                <c:formatCode>General</c:formatCode>
                <c:ptCount val="10"/>
                <c:pt idx="0">
                  <c:v>21</c:v>
                </c:pt>
                <c:pt idx="1">
                  <c:v>19</c:v>
                </c:pt>
                <c:pt idx="2">
                  <c:v>6</c:v>
                </c:pt>
                <c:pt idx="3">
                  <c:v>28</c:v>
                </c:pt>
                <c:pt idx="4">
                  <c:v>13</c:v>
                </c:pt>
                <c:pt idx="5">
                  <c:v>29</c:v>
                </c:pt>
                <c:pt idx="6">
                  <c:v>59</c:v>
                </c:pt>
                <c:pt idx="7">
                  <c:v>96</c:v>
                </c:pt>
                <c:pt idx="8">
                  <c:v>150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B7-421B-A3A7-4D09D291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896176"/>
        <c:axId val="1513894864"/>
      </c:lineChart>
      <c:catAx>
        <c:axId val="130427236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1304280888"/>
        <c:crosses val="autoZero"/>
        <c:auto val="1"/>
        <c:lblAlgn val="ctr"/>
        <c:lblOffset val="100"/>
        <c:noMultiLvlLbl val="0"/>
      </c:catAx>
      <c:valAx>
        <c:axId val="1304280888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1304272360"/>
        <c:crosses val="autoZero"/>
        <c:crossBetween val="between"/>
      </c:valAx>
      <c:valAx>
        <c:axId val="1513894864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KoPub돋움체_Pro Medium" panose="02020603020101020101" pitchFamily="18" charset="-127"/>
                <a:ea typeface="KoPub돋움체_Pro Medium" panose="02020603020101020101" pitchFamily="18" charset="-127"/>
                <a:cs typeface="KoPub돋움체_Pro Medium"/>
              </a:defRPr>
            </a:pPr>
            <a:endParaRPr lang="ko-KR"/>
          </a:p>
        </c:txPr>
        <c:crossAx val="1513896176"/>
        <c:crosses val="max"/>
        <c:crossBetween val="between"/>
      </c:valAx>
      <c:catAx>
        <c:axId val="1513896176"/>
        <c:scaling>
          <c:orientation val="minMax"/>
        </c:scaling>
        <c:delete val="1"/>
        <c:axPos val="b"/>
        <c:majorTickMark val="out"/>
        <c:minorTickMark val="none"/>
        <c:tickLblPos val="nextTo"/>
        <c:crossAx val="151389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6.8759248758175948E-2"/>
          <c:y val="4.6742834325753787E-3"/>
          <c:w val="0.80234137262214311"/>
          <c:h val="0.19114607828023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KoPub돋움체_Pro Medium" panose="02020603020101020101" pitchFamily="18" charset="-127"/>
              <a:ea typeface="KoPub돋움체_Pro Medium" panose="02020603020101020101" pitchFamily="18" charset="-127"/>
              <a:cs typeface="KoPub돋움체_Pro Medium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KoPub돋움체_Pro Medium" panose="02020603020101020101" pitchFamily="18" charset="-127"/>
          <a:ea typeface="KoPub돋움체_Pro Medium" panose="02020603020101020101" pitchFamily="18" charset="-127"/>
          <a:cs typeface="KoPub돋움체_Pro Medium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94459641183996E-2"/>
          <c:y val="0.10047454723660001"/>
          <c:w val="0.91931403471154183"/>
          <c:h val="0.81885029239766083"/>
        </c:manualLayout>
      </c:layout>
      <c:barChart>
        <c:barDir val="col"/>
        <c:grouping val="stacked"/>
        <c:varyColors val="0"/>
        <c:ser>
          <c:idx val="0"/>
          <c:order val="0"/>
          <c:tx>
            <c:v>Dividends</c:v>
          </c:tx>
          <c:spPr>
            <a:solidFill>
              <a:srgbClr val="F0B26B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0"/>
                  <c:y val="-3.24014661936806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65-48A0-9279-EF70E70E0729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65-48A0-9279-EF70E70E0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Arial Narrow"/>
                    <a:cs typeface="Arial Narrow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'2'!$F$93:$F$107</c:f>
              <c:strCache>
                <c:ptCount val="1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25F</c:v>
                </c:pt>
                <c:pt idx="14">
                  <c:v>26F</c:v>
                </c:pt>
              </c:strCache>
            </c:strRef>
          </c:cat>
          <c:val>
            <c:numRef>
              <c:f>'2'!$G$93:$G$107</c:f>
              <c:numCache>
                <c:formatCode>#,##0.0_ </c:formatCode>
                <c:ptCount val="15"/>
                <c:pt idx="0">
                  <c:v>12.202299999999999</c:v>
                </c:pt>
                <c:pt idx="1">
                  <c:v>11.73812</c:v>
                </c:pt>
                <c:pt idx="2">
                  <c:v>14.581760000000001</c:v>
                </c:pt>
                <c:pt idx="3">
                  <c:v>19.192790000000002</c:v>
                </c:pt>
                <c:pt idx="4">
                  <c:v>20.762080000000001</c:v>
                </c:pt>
                <c:pt idx="5">
                  <c:v>25.035790000000002</c:v>
                </c:pt>
                <c:pt idx="6">
                  <c:v>28.957380000000001</c:v>
                </c:pt>
                <c:pt idx="7">
                  <c:v>28.228860000000001</c:v>
                </c:pt>
                <c:pt idx="8">
                  <c:v>38.247309999999999</c:v>
                </c:pt>
                <c:pt idx="9">
                  <c:v>37.271209999999996</c:v>
                </c:pt>
                <c:pt idx="10">
                  <c:v>37.280670000000001</c:v>
                </c:pt>
                <c:pt idx="11">
                  <c:v>38.936900000000001</c:v>
                </c:pt>
                <c:pt idx="12">
                  <c:v>43.265129999999999</c:v>
                </c:pt>
                <c:pt idx="13">
                  <c:v>47.13899</c:v>
                </c:pt>
                <c:pt idx="14">
                  <c:v>58.614629999999998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65-48A0-9279-EF70E70E0729}"/>
            </c:ext>
          </c:extLst>
        </c:ser>
        <c:ser>
          <c:idx val="1"/>
          <c:order val="1"/>
          <c:tx>
            <c:v>Buybacks</c:v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dLbls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65-48A0-9279-EF70E70E0729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65-48A0-9279-EF70E70E0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Arial Narrow"/>
                    <a:cs typeface="Arial Narrow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'2'!$F$93:$F$107</c:f>
              <c:strCache>
                <c:ptCount val="1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25F</c:v>
                </c:pt>
                <c:pt idx="14">
                  <c:v>26F</c:v>
                </c:pt>
              </c:strCache>
            </c:strRef>
          </c:cat>
          <c:val>
            <c:numRef>
              <c:f>'2'!$H$93:$H$107</c:f>
              <c:numCache>
                <c:formatCode>#,##0.0_ </c:formatCode>
                <c:ptCount val="15"/>
                <c:pt idx="0">
                  <c:v>1.5952071805150001</c:v>
                </c:pt>
                <c:pt idx="1">
                  <c:v>1.445950572606</c:v>
                </c:pt>
                <c:pt idx="2">
                  <c:v>3.2276331543780001</c:v>
                </c:pt>
                <c:pt idx="3">
                  <c:v>10.675211055713</c:v>
                </c:pt>
                <c:pt idx="4">
                  <c:v>8.6017451074729987</c:v>
                </c:pt>
                <c:pt idx="5">
                  <c:v>7.6501914391850008</c:v>
                </c:pt>
                <c:pt idx="6">
                  <c:v>4.9579072430720004</c:v>
                </c:pt>
                <c:pt idx="7">
                  <c:v>2.5980707083839998</c:v>
                </c:pt>
                <c:pt idx="8">
                  <c:v>2.8843293037470001</c:v>
                </c:pt>
                <c:pt idx="9">
                  <c:v>1.8232304307980001</c:v>
                </c:pt>
                <c:pt idx="10">
                  <c:v>2.5737204856519997</c:v>
                </c:pt>
                <c:pt idx="11">
                  <c:v>3.3846270684559996</c:v>
                </c:pt>
                <c:pt idx="12">
                  <c:v>7.4631594091060007</c:v>
                </c:pt>
                <c:pt idx="13">
                  <c:v>14.860698783974</c:v>
                </c:pt>
                <c:pt idx="14">
                  <c:v>7.2290092352180002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65-48A0-9279-EF70E70E0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2688560"/>
        <c:axId val="413903840"/>
      </c:barChart>
      <c:catAx>
        <c:axId val="33268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413903840"/>
        <c:crosses val="autoZero"/>
        <c:auto val="1"/>
        <c:lblAlgn val="ctr"/>
        <c:lblOffset val="100"/>
        <c:noMultiLvlLbl val="0"/>
      </c:catAx>
      <c:valAx>
        <c:axId val="413903840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332688560"/>
        <c:crosses val="autoZero"/>
        <c:crossBetween val="between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 Narrow" panose="020B0606020202030204" pitchFamily="34" charset="0"/>
              <a:ea typeface="Arial Narrow"/>
              <a:cs typeface="Arial Narrow"/>
            </a:defRPr>
          </a:pPr>
          <a:endParaRPr lang="ko-K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Arial Narrow" panose="020B0606020202030204" pitchFamily="34" charset="0"/>
          <a:ea typeface="Arial Narrow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8.1695906432748544E-2"/>
          <c:w val="1"/>
          <c:h val="0.914590643274853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'2'!$P$31</c:f>
              <c:strCache>
                <c:ptCount val="1"/>
                <c:pt idx="0">
                  <c:v>SEC treasury share cancellations (L)</c:v>
                </c:pt>
              </c:strCache>
            </c:strRef>
          </c:tx>
          <c:spPr>
            <a:solidFill>
              <a:srgbClr val="84888B"/>
            </a:solidFill>
            <a:ln>
              <a:solidFill>
                <a:sysClr val="window" lastClr="FFFFFF"/>
              </a:solidFill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DF-4B53-963A-EDA9A56F95B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DF-4B53-963A-EDA9A56F95B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DF-4B53-963A-EDA9A56F95B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DF-4B53-963A-EDA9A56F95B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DF-4B53-963A-EDA9A56F95B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DF-4B53-963A-EDA9A56F95B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DF-4B53-963A-EDA9A56F95BF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Arial Narrow"/>
                    <a:cs typeface="Arial Narrow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'2'!$O$33:$O$42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26.03</c:v>
                </c:pt>
              </c:numCache>
            </c:numRef>
          </c:cat>
          <c:val>
            <c:numRef>
              <c:f>'2'!$P$33:$P$42</c:f>
              <c:numCache>
                <c:formatCode>General</c:formatCode>
                <c:ptCount val="10"/>
                <c:pt idx="0">
                  <c:v>26.289110733000001</c:v>
                </c:pt>
                <c:pt idx="1">
                  <c:v>21.266129987500001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2.9434896636000003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DF-4B53-963A-EDA9A56F95BF}"/>
            </c:ext>
          </c:extLst>
        </c:ser>
        <c:ser>
          <c:idx val="1"/>
          <c:order val="1"/>
          <c:tx>
            <c:strRef>
              <c:f>'2'!$Q$31</c:f>
              <c:strCache>
                <c:ptCount val="1"/>
                <c:pt idx="0">
                  <c:v>Ex-SEC treasury share cancellations (L)</c:v>
                </c:pt>
              </c:strCache>
            </c:strRef>
          </c:tx>
          <c:spPr>
            <a:solidFill>
              <a:srgbClr val="B5B7B9"/>
            </a:solidFill>
            <a:ln>
              <a:solidFill>
                <a:sysClr val="window" lastClr="FFFFFF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-2.4811280448840676E-17"/>
                  <c:y val="-1.3680263867514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DF-4B53-963A-EDA9A56F95BF}"/>
                </c:ext>
              </c:extLst>
            </c:dLbl>
            <c:dLbl>
              <c:idx val="2"/>
              <c:layout>
                <c:manualLayout>
                  <c:x val="0"/>
                  <c:y val="-3.3474327709275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DF-4B53-963A-EDA9A56F95BF}"/>
                </c:ext>
              </c:extLst>
            </c:dLbl>
            <c:dLbl>
              <c:idx val="3"/>
              <c:layout>
                <c:manualLayout>
                  <c:x val="0"/>
                  <c:y val="-4.0913067200225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DF-4B53-963A-EDA9A56F95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Arial Narrow"/>
                    <a:cs typeface="Arial Narrow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'2'!$O$33:$O$42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26.03</c:v>
                </c:pt>
              </c:numCache>
            </c:numRef>
          </c:cat>
          <c:val>
            <c:numRef>
              <c:f>'2'!$Q$33:$Q$42</c:f>
              <c:numCache>
                <c:formatCode>#,##0.0_ </c:formatCode>
                <c:ptCount val="10"/>
                <c:pt idx="0">
                  <c:v>0.51669929235000822</c:v>
                </c:pt>
                <c:pt idx="1">
                  <c:v>1.3441070673500022</c:v>
                </c:pt>
                <c:pt idx="2">
                  <c:v>0.65601038239999998</c:v>
                </c:pt>
                <c:pt idx="3">
                  <c:v>1.1709390756949998</c:v>
                </c:pt>
                <c:pt idx="4">
                  <c:v>3.1523917470499998</c:v>
                </c:pt>
                <c:pt idx="5">
                  <c:v>2.7305015256500003</c:v>
                </c:pt>
                <c:pt idx="6">
                  <c:v>4.3384254592289997</c:v>
                </c:pt>
                <c:pt idx="7">
                  <c:v>12.343087856494998</c:v>
                </c:pt>
                <c:pt idx="8">
                  <c:v>19.692836467096004</c:v>
                </c:pt>
                <c:pt idx="9">
                  <c:v>7.7819589019120006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7DF-4B53-963A-EDA9A56F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272360"/>
        <c:axId val="1304280888"/>
      </c:barChart>
      <c:lineChart>
        <c:grouping val="standard"/>
        <c:varyColors val="0"/>
        <c:ser>
          <c:idx val="2"/>
          <c:order val="2"/>
          <c:tx>
            <c:strRef>
              <c:f>'2'!$R$32</c:f>
              <c:strCache>
                <c:ptCount val="1"/>
                <c:pt idx="0">
                  <c:v>No. of buyback announcements (R)</c:v>
                </c:pt>
              </c:strCache>
            </c:strRef>
          </c:tx>
          <c:spPr>
            <a:ln w="19050" cap="rnd">
              <a:solidFill>
                <a:srgbClr val="F5822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58220"/>
              </a:solidFill>
              <a:ln w="19050">
                <a:solidFill>
                  <a:srgbClr val="F58220"/>
                </a:solidFill>
                <a:prstDash val="solid"/>
              </a:ln>
              <a:effectLst/>
            </c:spPr>
          </c:marker>
          <c:val>
            <c:numRef>
              <c:f>'2'!$R$33:$R$42</c:f>
              <c:numCache>
                <c:formatCode>General</c:formatCode>
                <c:ptCount val="10"/>
                <c:pt idx="0">
                  <c:v>21</c:v>
                </c:pt>
                <c:pt idx="1">
                  <c:v>19</c:v>
                </c:pt>
                <c:pt idx="2">
                  <c:v>6</c:v>
                </c:pt>
                <c:pt idx="3">
                  <c:v>28</c:v>
                </c:pt>
                <c:pt idx="4">
                  <c:v>13</c:v>
                </c:pt>
                <c:pt idx="5">
                  <c:v>29</c:v>
                </c:pt>
                <c:pt idx="6">
                  <c:v>59</c:v>
                </c:pt>
                <c:pt idx="7">
                  <c:v>96</c:v>
                </c:pt>
                <c:pt idx="8">
                  <c:v>150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DF-4B53-963A-EDA9A56F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896176"/>
        <c:axId val="1513894864"/>
      </c:lineChart>
      <c:catAx>
        <c:axId val="130427236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1304280888"/>
        <c:crosses val="autoZero"/>
        <c:auto val="1"/>
        <c:lblAlgn val="ctr"/>
        <c:lblOffset val="100"/>
        <c:noMultiLvlLbl val="0"/>
      </c:catAx>
      <c:valAx>
        <c:axId val="1304280888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1304272360"/>
        <c:crosses val="autoZero"/>
        <c:crossBetween val="between"/>
      </c:valAx>
      <c:valAx>
        <c:axId val="1513894864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rgbClr val="7F7F7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ko-KR"/>
          </a:p>
        </c:txPr>
        <c:crossAx val="1513896176"/>
        <c:crosses val="max"/>
        <c:crossBetween val="between"/>
      </c:valAx>
      <c:catAx>
        <c:axId val="1513896176"/>
        <c:scaling>
          <c:orientation val="minMax"/>
        </c:scaling>
        <c:delete val="1"/>
        <c:axPos val="b"/>
        <c:majorTickMark val="out"/>
        <c:minorTickMark val="none"/>
        <c:tickLblPos val="nextTo"/>
        <c:crossAx val="151389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6.8759248758175948E-2"/>
          <c:y val="4.6742834325753787E-3"/>
          <c:w val="0.80234137262214311"/>
          <c:h val="0.19114607828023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 Narrow" panose="020B0606020202030204" pitchFamily="34" charset="0"/>
              <a:ea typeface="Arial Narrow"/>
              <a:cs typeface="Arial Narrow"/>
            </a:defRPr>
          </a:pPr>
          <a:endParaRPr lang="ko-K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 b="0">
          <a:solidFill>
            <a:srgbClr val="000000"/>
          </a:solidFill>
          <a:latin typeface="Arial Narrow" panose="020B0606020202030204" pitchFamily="34" charset="0"/>
          <a:ea typeface="Arial Narrow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12</xdr:row>
      <xdr:rowOff>19048</xdr:rowOff>
    </xdr:from>
    <xdr:to>
      <xdr:col>7</xdr:col>
      <xdr:colOff>134024</xdr:colOff>
      <xdr:row>29</xdr:row>
      <xdr:rowOff>147298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78BC60D-A3A8-42F3-9EF2-310BD65BE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571498</xdr:colOff>
      <xdr:row>13</xdr:row>
      <xdr:rowOff>85726</xdr:rowOff>
    </xdr:from>
    <xdr:to>
      <xdr:col>15</xdr:col>
      <xdr:colOff>181648</xdr:colOff>
      <xdr:row>29</xdr:row>
      <xdr:rowOff>404476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1C9C968-8DD9-4C8F-8BF8-105313951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0</xdr:row>
      <xdr:rowOff>52387</xdr:rowOff>
    </xdr:from>
    <xdr:to>
      <xdr:col>21</xdr:col>
      <xdr:colOff>572175</xdr:colOff>
      <xdr:row>19</xdr:row>
      <xdr:rowOff>37762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9581C7-C937-4C54-94A8-1A853F37C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0.01833</cdr:x>
      <cdr:y>0</cdr:y>
    </cdr:from>
    <cdr:to>
      <cdr:x>0.24321</cdr:x>
      <cdr:y>0.13741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782C2B-FB10-4440-ACC7-0E261E31E8DE}"/>
            </a:ext>
          </a:extLst>
        </cdr:cNvPr>
        <cdr:cNvSpPr txBox="1"/>
      </cdr:nvSpPr>
      <cdr:spPr>
        <a:xfrm xmlns:a="http://schemas.openxmlformats.org/drawingml/2006/main">
          <a:off x="74545" y="0"/>
          <a:ext cx="914400" cy="372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900">
              <a:latin typeface="Arial Narrow" panose="020B0606020202030204" pitchFamily="34" charset="0"/>
            </a:rPr>
            <a:t>(x)</a:t>
          </a:r>
          <a:endParaRPr lang="ko-KR" altLang="en-US" sz="900">
            <a:latin typeface="Arial Narrow" panose="020B060602020203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0.02833</cdr:x>
      <cdr:y>0.01382</cdr:y>
    </cdr:from>
    <cdr:to>
      <cdr:x>0.06967</cdr:x>
      <cdr:y>0.07059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61A3B0-5DBB-4E85-A9A5-AD8102610738}"/>
            </a:ext>
          </a:extLst>
        </cdr:cNvPr>
        <cdr:cNvSpPr txBox="1"/>
      </cdr:nvSpPr>
      <cdr:spPr>
        <a:xfrm xmlns:a="http://schemas.openxmlformats.org/drawingml/2006/main">
          <a:off x="106018" y="36772"/>
          <a:ext cx="154738" cy="1510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 anchor="ctr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900" b="0">
              <a:latin typeface="Arial Narrow" panose="020B0606020202030204" pitchFamily="34" charset="0"/>
            </a:rPr>
            <a:t>(%)</a:t>
          </a:r>
          <a:endParaRPr lang="ko-KR" altLang="en-US" sz="900" b="0">
            <a:latin typeface="Arial Narrow" panose="020B060602020203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56</xdr:row>
      <xdr:rowOff>0</xdr:rowOff>
    </xdr:from>
    <xdr:to>
      <xdr:col>4</xdr:col>
      <xdr:colOff>304800</xdr:colOff>
      <xdr:row>57</xdr:row>
      <xdr:rowOff>95250</xdr:rowOff>
    </xdr:to>
    <xdr:sp macro="" textlink="">
      <xdr:nvSpPr>
        <xdr:cNvPr id="10" name="AutoShape 23" descr="https://www.ft.com/__origami/service/image/v2/images/raw/https%3A%2F%2Fcms-image-bucket-production-ap-northeast-1-a7d2.s3.ap-northeast-1.amazonaws.com%2Fimages%2F_aliases%2Farticleimage%2F3%2F4%2F2%2F7%2F47457243-3-eng-GB%2Fdividends-and-stock-buybacks-in-japan+%281%29.png?source=nar-cms">
          <a:extLst>
            <a:ext uri="{FF2B5EF4-FFF2-40B4-BE49-F238E27FC236}">
              <a16:creationId xmlns:a16="http://schemas.microsoft.com/office/drawing/2014/main" id="{7DF86CA6-382D-409B-9196-D99C8EF13AC8}"/>
            </a:ext>
          </a:extLst>
        </xdr:cNvPr>
        <xdr:cNvSpPr>
          <a:spLocks noChangeAspect="1" noChangeArrowheads="1"/>
        </xdr:cNvSpPr>
      </xdr:nvSpPr>
      <xdr:spPr bwMode="auto">
        <a:xfrm>
          <a:off x="4324350" y="117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517872</xdr:colOff>
      <xdr:row>72</xdr:row>
      <xdr:rowOff>150711</xdr:rowOff>
    </xdr:from>
    <xdr:to>
      <xdr:col>19</xdr:col>
      <xdr:colOff>490658</xdr:colOff>
      <xdr:row>82</xdr:row>
      <xdr:rowOff>61064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4FF292A-AD22-4DB8-AFAD-B53D0165D1F8}"/>
            </a:ext>
          </a:extLst>
        </xdr:cNvPr>
        <xdr:cNvSpPr/>
      </xdr:nvSpPr>
      <xdr:spPr>
        <a:xfrm>
          <a:off x="19920297" y="15219261"/>
          <a:ext cx="658586" cy="2005853"/>
        </a:xfrm>
        <a:prstGeom prst="rect">
          <a:avLst/>
        </a:prstGeom>
        <a:noFill/>
        <a:ln w="22225" cap="flat" cmpd="sng" algn="ctr">
          <a:solidFill>
            <a:srgbClr val="000000"/>
          </a:solidFill>
          <a:prstDash val="sysDot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585107</xdr:colOff>
      <xdr:row>70</xdr:row>
      <xdr:rowOff>40821</xdr:rowOff>
    </xdr:from>
    <xdr:to>
      <xdr:col>21</xdr:col>
      <xdr:colOff>102491</xdr:colOff>
      <xdr:row>72</xdr:row>
      <xdr:rowOff>91145</xdr:rowOff>
    </xdr:to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65C12D1C-1085-4888-8A64-6E7187A3660A}"/>
            </a:ext>
          </a:extLst>
        </xdr:cNvPr>
        <xdr:cNvSpPr txBox="1"/>
      </xdr:nvSpPr>
      <xdr:spPr>
        <a:xfrm>
          <a:off x="19987532" y="14690271"/>
          <a:ext cx="1717659" cy="469424"/>
        </a:xfrm>
        <a:prstGeom prst="rect">
          <a:avLst/>
        </a:prstGeom>
      </xdr:spPr>
      <xdr:txBody>
        <a:bodyPr wrap="square" lIns="36000" tIns="36000" rIns="36000" bIns="36000" rtlCol="0" anchor="ctr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110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총 주주환원율</a:t>
          </a:r>
          <a:endParaRPr lang="en-US" altLang="ko-KR" sz="1100">
            <a:latin typeface="KoPub돋움체_Pro Bold" panose="02020603020101020101" pitchFamily="18" charset="-127"/>
            <a:ea typeface="KoPub돋움체_Pro Bold" panose="02020603020101020101" pitchFamily="18" charset="-127"/>
          </a:endParaRPr>
        </a:p>
        <a:p>
          <a:pPr algn="r"/>
          <a:r>
            <a:rPr lang="en-US" altLang="ko-KR" sz="110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22</a:t>
          </a:r>
          <a:r>
            <a:rPr lang="ko-KR" altLang="en-US" sz="110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년 </a:t>
          </a:r>
          <a:r>
            <a:rPr lang="en-US" altLang="ko-KR" sz="110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50%</a:t>
          </a:r>
          <a:r>
            <a:rPr lang="en-US" altLang="ko-KR" sz="1100" baseline="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 → 23</a:t>
          </a:r>
          <a:r>
            <a:rPr lang="ko-KR" altLang="en-US" sz="1100" baseline="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년 </a:t>
          </a:r>
          <a:r>
            <a:rPr lang="en-US" altLang="ko-KR" sz="1100" baseline="0">
              <a:latin typeface="KoPub돋움체_Pro Bold" panose="02020603020101020101" pitchFamily="18" charset="-127"/>
              <a:ea typeface="KoPub돋움체_Pro Bold" panose="02020603020101020101" pitchFamily="18" charset="-127"/>
            </a:rPr>
            <a:t>56%</a:t>
          </a:r>
          <a:endParaRPr lang="ko-KR" altLang="en-US" sz="1100">
            <a:latin typeface="KoPub돋움체_Pro Bold" panose="02020603020101020101" pitchFamily="18" charset="-127"/>
            <a:ea typeface="KoPub돋움체_Pro Bold" panose="02020603020101020101" pitchFamily="18" charset="-127"/>
          </a:endParaRPr>
        </a:p>
      </xdr:txBody>
    </xdr:sp>
    <xdr:clientData/>
  </xdr:twoCellAnchor>
  <xdr:twoCellAnchor>
    <xdr:from>
      <xdr:col>13</xdr:col>
      <xdr:colOff>760640</xdr:colOff>
      <xdr:row>1</xdr:row>
      <xdr:rowOff>43543</xdr:rowOff>
    </xdr:from>
    <xdr:to>
      <xdr:col>22</xdr:col>
      <xdr:colOff>503465</xdr:colOff>
      <xdr:row>1</xdr:row>
      <xdr:rowOff>43543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1752C3E-E70A-44B7-8FE6-599BB7E06761}"/>
            </a:ext>
          </a:extLst>
        </xdr:cNvPr>
        <xdr:cNvCxnSpPr/>
      </xdr:nvCxnSpPr>
      <xdr:spPr>
        <a:xfrm>
          <a:off x="15657740" y="253093"/>
          <a:ext cx="7134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204198</xdr:colOff>
      <xdr:row>64</xdr:row>
      <xdr:rowOff>177120</xdr:rowOff>
    </xdr:from>
    <xdr:to>
      <xdr:col>40</xdr:col>
      <xdr:colOff>467967</xdr:colOff>
      <xdr:row>64</xdr:row>
      <xdr:rowOff>177120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234113-9DAE-4062-95B9-5E5A1D5FB439}"/>
            </a:ext>
          </a:extLst>
        </xdr:cNvPr>
        <xdr:cNvCxnSpPr/>
      </xdr:nvCxnSpPr>
      <xdr:spPr>
        <a:xfrm flipV="1">
          <a:off x="30388923" y="13569270"/>
          <a:ext cx="74265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849608</xdr:colOff>
      <xdr:row>40</xdr:row>
      <xdr:rowOff>123265</xdr:rowOff>
    </xdr:from>
    <xdr:to>
      <xdr:col>4</xdr:col>
      <xdr:colOff>963463</xdr:colOff>
      <xdr:row>53</xdr:row>
      <xdr:rowOff>99115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602983E0-807A-49CA-9B50-A94515919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230840</xdr:colOff>
      <xdr:row>40</xdr:row>
      <xdr:rowOff>112059</xdr:rowOff>
    </xdr:from>
    <xdr:to>
      <xdr:col>7</xdr:col>
      <xdr:colOff>1308401</xdr:colOff>
      <xdr:row>53</xdr:row>
      <xdr:rowOff>84547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32B672D-BA1A-4B44-8894-3A0B30770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53</xdr:row>
      <xdr:rowOff>193224</xdr:rowOff>
    </xdr:from>
    <xdr:to>
      <xdr:col>4</xdr:col>
      <xdr:colOff>949093</xdr:colOff>
      <xdr:row>66</xdr:row>
      <xdr:rowOff>174516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670C882F-CA5B-4F90-98F8-BAF7EC046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246529</xdr:colOff>
      <xdr:row>54</xdr:row>
      <xdr:rowOff>44822</xdr:rowOff>
    </xdr:from>
    <xdr:to>
      <xdr:col>7</xdr:col>
      <xdr:colOff>1318487</xdr:colOff>
      <xdr:row>67</xdr:row>
      <xdr:rowOff>20673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2005BC7C-FC7B-4A12-AD51-19B80F0AA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0.09231</cdr:x>
      <cdr:y>0.08805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615BB92-24DF-4B79-9D4F-A00F61A1953C}"/>
            </a:ext>
          </a:extLst>
        </cdr:cNvPr>
        <cdr:cNvSpPr txBox="1"/>
      </cdr:nvSpPr>
      <cdr:spPr>
        <a:xfrm xmlns:a="http://schemas.openxmlformats.org/drawingml/2006/main">
          <a:off x="0" y="-15465"/>
          <a:ext cx="345598" cy="23774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36000" tIns="36000" rIns="36000" bIns="36000" rtlCol="0" anchor="ctr" anchorCtr="0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(</a:t>
          </a:r>
          <a:r>
            <a:rPr lang="ko-KR" altLang="en-US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조원</a:t>
          </a:r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0.09231</cdr:x>
      <cdr:y>0.08805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0A6E6A-8741-453A-A2EE-3AE586B6EE73}"/>
            </a:ext>
          </a:extLst>
        </cdr:cNvPr>
        <cdr:cNvSpPr txBox="1"/>
      </cdr:nvSpPr>
      <cdr:spPr>
        <a:xfrm xmlns:a="http://schemas.openxmlformats.org/drawingml/2006/main">
          <a:off x="0" y="-6"/>
          <a:ext cx="345598" cy="23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 anchor="ctr" anchorCtr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(</a:t>
          </a:r>
          <a:r>
            <a:rPr lang="ko-KR" altLang="en-US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조원</a:t>
          </a:r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)</a:t>
          </a:r>
          <a:endParaRPr lang="ko-KR" altLang="en-US" sz="900" b="0">
            <a:latin typeface="KoPub돋움체_Pro Medium" panose="02020603020101020101" pitchFamily="18" charset="-127"/>
            <a:ea typeface="KoPub돋움체_Pro Medium" panose="02020603020101020101" pitchFamily="18" charset="-127"/>
          </a:endParaRPr>
        </a:p>
      </cdr:txBody>
    </cdr:sp>
  </cdr:relSizeAnchor>
  <cdr:relSizeAnchor xmlns:cdr="http://schemas.openxmlformats.org/drawingml/2006/chartDrawing">
    <cdr:from>
      <cdr:x>0.86882</cdr:x>
      <cdr:y>0</cdr:y>
    </cdr:from>
    <cdr:to>
      <cdr:x>0.96113</cdr:x>
      <cdr:y>0.08805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1542F8AA-7FBF-462D-A108-69CD6D5860CD}"/>
            </a:ext>
          </a:extLst>
        </cdr:cNvPr>
        <cdr:cNvSpPr txBox="1"/>
      </cdr:nvSpPr>
      <cdr:spPr>
        <a:xfrm xmlns:a="http://schemas.openxmlformats.org/drawingml/2006/main">
          <a:off x="3252862" y="-6"/>
          <a:ext cx="345598" cy="23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36000" tIns="36000" rIns="36000" bIns="36000" rtlCol="0" anchor="ctr" anchorCtr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(</a:t>
          </a:r>
          <a:r>
            <a:rPr lang="ko-KR" altLang="en-US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건수</a:t>
          </a:r>
          <a:r>
            <a:rPr lang="en-US" altLang="ko-KR" sz="900" b="0">
              <a:latin typeface="KoPub돋움체_Pro Medium" panose="02020603020101020101" pitchFamily="18" charset="-127"/>
              <a:ea typeface="KoPub돋움체_Pro Medium" panose="02020603020101020101" pitchFamily="18" charset="-127"/>
            </a:rPr>
            <a:t>)</a:t>
          </a:r>
          <a:endParaRPr lang="ko-KR" altLang="en-US" sz="900" b="0">
            <a:latin typeface="KoPub돋움체_Pro Medium" panose="02020603020101020101" pitchFamily="18" charset="-127"/>
            <a:ea typeface="KoPub돋움체_Pro Medium" panose="02020603020101020101" pitchFamily="18" charset="-127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0.00612</cdr:y>
    </cdr:from>
    <cdr:to>
      <cdr:x>0.07561</cdr:x>
      <cdr:y>0.08193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615BB92-24DF-4B79-9D4F-A00F61A1953C}"/>
            </a:ext>
          </a:extLst>
        </cdr:cNvPr>
        <cdr:cNvSpPr txBox="1"/>
      </cdr:nvSpPr>
      <cdr:spPr>
        <a:xfrm xmlns:a="http://schemas.openxmlformats.org/drawingml/2006/main">
          <a:off x="0" y="16551"/>
          <a:ext cx="282761" cy="2051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36000" tIns="36000" rIns="36000" bIns="36000" rtlCol="0" anchor="ctr" anchorCtr="0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900" b="0">
              <a:latin typeface="Arial Narrow" panose="020B0606020202030204" pitchFamily="34" charset="0"/>
              <a:ea typeface="KoPub돋움체_Pro Medium" panose="02020603020101020101" pitchFamily="18" charset="-127"/>
            </a:rPr>
            <a:t>(Wtr)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0.00604</cdr:y>
    </cdr:from>
    <cdr:to>
      <cdr:x>0.07552</cdr:x>
      <cdr:y>0.08201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0A6E6A-8741-453A-A2EE-3AE586B6EE73}"/>
            </a:ext>
          </a:extLst>
        </cdr:cNvPr>
        <cdr:cNvSpPr txBox="1"/>
      </cdr:nvSpPr>
      <cdr:spPr>
        <a:xfrm xmlns:a="http://schemas.openxmlformats.org/drawingml/2006/main">
          <a:off x="0" y="16311"/>
          <a:ext cx="282761" cy="205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 anchor="ctr" anchorCtr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900" b="0">
              <a:latin typeface="Arial Narrow" panose="020B0606020202030204" pitchFamily="34" charset="0"/>
              <a:ea typeface="KoPub돋움체_Pro Medium" panose="02020603020101020101" pitchFamily="18" charset="-127"/>
            </a:rPr>
            <a:t>(Wtr)</a:t>
          </a:r>
          <a:endParaRPr lang="ko-KR" altLang="en-US" sz="900" b="0">
            <a:latin typeface="Arial Narrow" panose="020B0606020202030204" pitchFamily="34" charset="0"/>
            <a:ea typeface="KoPub돋움체_Pro Medium" panose="02020603020101020101" pitchFamily="18" charset="-127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SG_Quant\factor_workbench\output\COE_&#48516;&#49437;&#44208;&#44284;\(&#53596;&#54540;&#47551;)COE_&#48516;&#49437;&#44208;&#44284;_260228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3248;&#53944;\___4&#50900;%20&#50900;&#48372;\260324_(&#51068;&#48376;&amp;)&#51088;&#49324;&#51452;%20&#47588;&#51077;%20&#49548;&#44033;_&#53076;&#49828;&#545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멀티플(기본)"/>
      <sheetName val="멀티플(KD해소)"/>
      <sheetName val="멀티플(KP시대)"/>
      <sheetName val="멀티플(전닉제외)"/>
      <sheetName val="멀티플(금리)"/>
      <sheetName val="COE"/>
      <sheetName val="ROE"/>
      <sheetName val="KOSPI"/>
      <sheetName val="ERP"/>
      <sheetName val="ROE오차"/>
      <sheetName val="Documentation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BL14" t="str">
            <v>12MF PBR 자사주 소각 전 (L)</v>
          </cell>
        </row>
      </sheetData>
      <sheetData sheetId="7">
        <row r="2">
          <cell r="I2">
            <v>9.9741219455928831E-5</v>
          </cell>
        </row>
        <row r="3">
          <cell r="I3">
            <v>781.07831596022243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Chart"/>
      <sheetName val="한일"/>
      <sheetName val="raw_한국 vs 일본"/>
      <sheetName val="자사주매입액 추이 (직접취득)"/>
      <sheetName val="자사주매입액 추이 (전체)"/>
      <sheetName val="자사주매입액 추이 (코스피)"/>
      <sheetName val="Raw_자사주소각"/>
      <sheetName val="raw_주가"/>
      <sheetName val="자사주 매입_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1">
          <cell r="K1" t="str">
            <v>국내 기업 현금배당액(L)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미래에셋대우1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F0B26B"/>
    </a:accent1>
    <a:accent2>
      <a:srgbClr val="C2AC97"/>
    </a:accent2>
    <a:accent3>
      <a:srgbClr val="043B72"/>
    </a:accent3>
    <a:accent4>
      <a:srgbClr val="0086B8"/>
    </a:accent4>
    <a:accent5>
      <a:srgbClr val="8DC8E8"/>
    </a:accent5>
    <a:accent6>
      <a:srgbClr val="84888B"/>
    </a:accent6>
    <a:hlink>
      <a:srgbClr val="FFFFFF"/>
    </a:hlink>
    <a:folHlink>
      <a:srgbClr val="FFFFFF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미래에셋대우1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F0B26B"/>
    </a:accent1>
    <a:accent2>
      <a:srgbClr val="C2AC97"/>
    </a:accent2>
    <a:accent3>
      <a:srgbClr val="043B72"/>
    </a:accent3>
    <a:accent4>
      <a:srgbClr val="0086B8"/>
    </a:accent4>
    <a:accent5>
      <a:srgbClr val="8DC8E8"/>
    </a:accent5>
    <a:accent6>
      <a:srgbClr val="84888B"/>
    </a:accent6>
    <a:hlink>
      <a:srgbClr val="FFFFFF"/>
    </a:hlink>
    <a:folHlink>
      <a:srgbClr val="FFFFFF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051-FC3F-4F8B-B52C-E39836CA56EE}">
  <dimension ref="A1:AV77"/>
  <sheetViews>
    <sheetView showGridLines="0" zoomScale="115" zoomScaleNormal="115" workbookViewId="0">
      <selection activeCell="N11" sqref="N11"/>
    </sheetView>
  </sheetViews>
  <sheetFormatPr defaultRowHeight="11.25" x14ac:dyDescent="0.15"/>
  <cols>
    <col min="1" max="1" width="6.33203125" style="6" bestFit="1" customWidth="1"/>
    <col min="2" max="3" width="11.33203125" style="6" bestFit="1" customWidth="1"/>
    <col min="4" max="4" width="11.33203125" style="6" customWidth="1"/>
    <col min="5" max="5" width="10.33203125" style="2" bestFit="1" customWidth="1"/>
    <col min="6" max="6" width="11.33203125" style="2" bestFit="1" customWidth="1"/>
    <col min="7" max="7" width="10" style="2" bestFit="1" customWidth="1"/>
    <col min="8" max="10" width="10" style="2" customWidth="1"/>
    <col min="11" max="11" width="11.33203125" style="2" bestFit="1" customWidth="1"/>
    <col min="12" max="12" width="10.83203125" style="2" bestFit="1" customWidth="1"/>
    <col min="13" max="13" width="10.83203125" style="2" customWidth="1"/>
    <col min="14" max="14" width="7" style="2" bestFit="1" customWidth="1"/>
    <col min="15" max="15" width="8" style="1" customWidth="1"/>
    <col min="16" max="16" width="14" style="1" customWidth="1"/>
    <col min="17" max="17" width="10" style="2" customWidth="1"/>
    <col min="18" max="18" width="13.1640625" style="2" bestFit="1" customWidth="1"/>
    <col min="19" max="19" width="12.1640625" style="2" bestFit="1" customWidth="1"/>
    <col min="20" max="20" width="14.33203125" style="2" customWidth="1"/>
    <col min="21" max="21" width="10.5" style="2" customWidth="1"/>
    <col min="22" max="22" width="14.5" style="2" customWidth="1"/>
    <col min="23" max="26" width="19.5" style="2" customWidth="1"/>
    <col min="27" max="32" width="10.83203125" style="2" customWidth="1"/>
    <col min="33" max="33" width="12.1640625" style="2" customWidth="1"/>
    <col min="34" max="34" width="14.33203125" style="2" customWidth="1"/>
    <col min="35" max="35" width="9.6640625" style="2" customWidth="1"/>
    <col min="36" max="36" width="10.6640625" style="2" bestFit="1" customWidth="1"/>
    <col min="37" max="37" width="9.5" style="2" bestFit="1" customWidth="1"/>
    <col min="38" max="38" width="10.5" style="2" customWidth="1"/>
    <col min="39" max="41" width="12" style="2" customWidth="1"/>
    <col min="42" max="44" width="12.33203125" style="1" customWidth="1"/>
    <col min="45" max="45" width="6.6640625" style="1" bestFit="1" customWidth="1"/>
    <col min="46" max="48" width="6.33203125" style="1" bestFit="1" customWidth="1"/>
    <col min="49" max="52" width="9.33203125" style="1"/>
    <col min="53" max="53" width="14.1640625" style="1" customWidth="1"/>
    <col min="54" max="16384" width="9.33203125" style="1"/>
  </cols>
  <sheetData>
    <row r="1" spans="4:38" x14ac:dyDescent="0.15">
      <c r="Q1" s="136"/>
      <c r="R1" s="136"/>
      <c r="S1" s="136"/>
      <c r="T1" s="136"/>
      <c r="U1" s="136"/>
      <c r="V1" s="136"/>
    </row>
    <row r="2" spans="4:38" x14ac:dyDescent="0.15">
      <c r="Q2" s="136"/>
      <c r="R2" s="136"/>
      <c r="S2" s="136"/>
      <c r="T2" s="136"/>
      <c r="U2" s="136"/>
      <c r="V2" s="136"/>
    </row>
    <row r="3" spans="4:38" x14ac:dyDescent="0.15">
      <c r="Q3" s="136"/>
      <c r="R3" s="136"/>
      <c r="S3" s="136"/>
      <c r="T3" s="136"/>
      <c r="U3" s="136"/>
      <c r="V3" s="136"/>
    </row>
    <row r="4" spans="4:38" x14ac:dyDescent="0.15">
      <c r="D4" s="1"/>
      <c r="F4" s="2" t="s">
        <v>294</v>
      </c>
      <c r="G4" s="2" t="s">
        <v>295</v>
      </c>
      <c r="J4" s="1"/>
      <c r="K4" s="2" t="s">
        <v>0</v>
      </c>
      <c r="N4" s="1"/>
      <c r="O4" s="2" t="s">
        <v>0</v>
      </c>
      <c r="Q4" s="136"/>
      <c r="R4" s="136"/>
      <c r="S4" s="136"/>
      <c r="T4" s="136"/>
      <c r="U4" s="136"/>
      <c r="V4" s="136"/>
    </row>
    <row r="5" spans="4:38" x14ac:dyDescent="0.15">
      <c r="D5" s="1"/>
      <c r="E5" s="2" t="s">
        <v>1</v>
      </c>
      <c r="F5" s="3">
        <v>9.2173200307838297</v>
      </c>
      <c r="G5" s="3">
        <v>1.6056648267863842</v>
      </c>
      <c r="I5" s="148" t="s">
        <v>2</v>
      </c>
      <c r="J5" s="2" t="s">
        <v>3</v>
      </c>
      <c r="K5" s="4">
        <v>17.541580867014329</v>
      </c>
      <c r="M5" s="167" t="s">
        <v>299</v>
      </c>
      <c r="N5" s="2" t="s">
        <v>293</v>
      </c>
      <c r="O5" s="4">
        <v>17.541580867014329</v>
      </c>
      <c r="Q5" s="136"/>
      <c r="R5" s="136"/>
      <c r="S5" s="136"/>
      <c r="T5" s="136"/>
      <c r="U5" s="136"/>
      <c r="V5" s="136"/>
    </row>
    <row r="6" spans="4:38" x14ac:dyDescent="0.15">
      <c r="D6" s="1"/>
      <c r="E6" s="2" t="s">
        <v>4</v>
      </c>
      <c r="F6" s="3">
        <v>8.9123267315805705</v>
      </c>
      <c r="G6" s="3">
        <v>1.5525347400257359</v>
      </c>
      <c r="I6" s="148"/>
      <c r="J6" s="5">
        <v>0.3</v>
      </c>
      <c r="K6" s="4">
        <v>18.109649707310886</v>
      </c>
      <c r="M6" s="148"/>
      <c r="N6" s="5">
        <v>0.3</v>
      </c>
      <c r="O6" s="4">
        <v>18.109649707310886</v>
      </c>
      <c r="Q6" s="136"/>
      <c r="R6" s="136"/>
      <c r="S6" s="136"/>
      <c r="T6" s="136"/>
      <c r="U6" s="136"/>
      <c r="V6" s="136"/>
    </row>
    <row r="7" spans="4:38" x14ac:dyDescent="0.15">
      <c r="E7" s="2" t="s">
        <v>5</v>
      </c>
      <c r="F7" s="7"/>
      <c r="G7" s="3" t="s">
        <v>6</v>
      </c>
      <c r="I7" s="148"/>
      <c r="J7" s="5">
        <v>0.4</v>
      </c>
      <c r="K7" s="4">
        <v>18.443657891039084</v>
      </c>
      <c r="L7" s="1"/>
      <c r="M7" s="148"/>
      <c r="N7" s="5">
        <v>0.4</v>
      </c>
      <c r="O7" s="4">
        <v>18.443657891039084</v>
      </c>
      <c r="Q7" s="136"/>
      <c r="R7" s="136"/>
      <c r="S7" s="136"/>
      <c r="T7" s="136"/>
      <c r="U7" s="136"/>
      <c r="V7" s="136"/>
    </row>
    <row r="8" spans="4:38" x14ac:dyDescent="0.15">
      <c r="G8" s="2" t="s">
        <v>7</v>
      </c>
      <c r="I8" s="148"/>
      <c r="J8" s="5">
        <v>0.5</v>
      </c>
      <c r="K8" s="4">
        <v>18.790218248105095</v>
      </c>
      <c r="L8" s="8"/>
      <c r="M8" s="148"/>
      <c r="N8" s="5">
        <v>0.5</v>
      </c>
      <c r="O8" s="4">
        <v>18.790218248105095</v>
      </c>
      <c r="Q8" s="136"/>
      <c r="R8" s="136"/>
      <c r="S8" s="136"/>
      <c r="T8" s="136"/>
      <c r="U8" s="136"/>
      <c r="V8" s="136"/>
    </row>
    <row r="9" spans="4:38" x14ac:dyDescent="0.15">
      <c r="G9" s="2" t="s">
        <v>8</v>
      </c>
      <c r="Q9" s="136"/>
      <c r="R9" s="136"/>
      <c r="S9" s="136"/>
      <c r="T9" s="136"/>
      <c r="U9" s="136"/>
      <c r="V9" s="136"/>
    </row>
    <row r="10" spans="4:38" x14ac:dyDescent="0.15">
      <c r="G10" s="5">
        <v>0.08</v>
      </c>
      <c r="Q10" s="136"/>
      <c r="R10" s="136"/>
      <c r="S10" s="136"/>
      <c r="T10" s="136"/>
      <c r="U10" s="136"/>
      <c r="V10" s="136"/>
    </row>
    <row r="11" spans="4:38" x14ac:dyDescent="0.15">
      <c r="Q11" s="136"/>
      <c r="R11" s="136"/>
      <c r="S11" s="136"/>
      <c r="T11" s="136"/>
      <c r="U11" s="136"/>
      <c r="V11" s="136"/>
    </row>
    <row r="12" spans="4:38" x14ac:dyDescent="0.15">
      <c r="D12" s="6" t="s">
        <v>9</v>
      </c>
      <c r="Q12" s="136"/>
      <c r="R12" s="136"/>
      <c r="S12" s="136"/>
      <c r="T12" s="136"/>
      <c r="U12" s="136"/>
      <c r="V12" s="136"/>
      <c r="AL12" s="2" t="s">
        <v>10</v>
      </c>
    </row>
    <row r="13" spans="4:38" x14ac:dyDescent="0.15">
      <c r="D13" s="6" t="s">
        <v>11</v>
      </c>
      <c r="E13" s="2">
        <v>6.7626457980891175E-2</v>
      </c>
      <c r="G13" s="9">
        <v>17.541580867014329</v>
      </c>
      <c r="H13" s="2">
        <v>1.5089566889897417</v>
      </c>
      <c r="Q13" s="136"/>
      <c r="R13" s="136"/>
      <c r="S13" s="136"/>
      <c r="T13" s="136"/>
      <c r="U13" s="136"/>
      <c r="V13" s="136"/>
      <c r="AL13" s="2" t="s">
        <v>12</v>
      </c>
    </row>
    <row r="14" spans="4:38" x14ac:dyDescent="0.15">
      <c r="D14" s="6" t="s">
        <v>13</v>
      </c>
      <c r="E14" s="2">
        <v>0.3226817075681927</v>
      </c>
      <c r="G14" s="9">
        <v>18.109649707310886</v>
      </c>
      <c r="H14" s="2">
        <v>1.5473731725483104</v>
      </c>
      <c r="I14" s="10">
        <v>2.5458970319611307</v>
      </c>
      <c r="Q14" s="136"/>
      <c r="R14" s="136"/>
      <c r="S14" s="136"/>
      <c r="T14" s="136"/>
      <c r="U14" s="136"/>
      <c r="V14" s="136"/>
      <c r="AL14" s="2" t="s">
        <v>14</v>
      </c>
    </row>
    <row r="15" spans="4:38" x14ac:dyDescent="0.15">
      <c r="D15" s="6" t="s">
        <v>15</v>
      </c>
      <c r="E15" s="2">
        <v>1.4538291528877585</v>
      </c>
      <c r="G15" s="9">
        <v>18.443657891039084</v>
      </c>
      <c r="H15" s="2">
        <v>1.5699609629504794</v>
      </c>
      <c r="I15" s="10">
        <v>4.0428114607835797</v>
      </c>
      <c r="Q15" s="136"/>
      <c r="R15" s="136"/>
      <c r="S15" s="136"/>
      <c r="T15" s="136"/>
      <c r="U15" s="136"/>
      <c r="V15" s="136"/>
      <c r="AL15" s="2" t="s">
        <v>16</v>
      </c>
    </row>
    <row r="16" spans="4:38" x14ac:dyDescent="0.15">
      <c r="Q16" s="136"/>
      <c r="R16" s="136"/>
      <c r="S16" s="136"/>
      <c r="T16" s="136"/>
      <c r="U16" s="136"/>
      <c r="V16" s="136"/>
      <c r="AL16" s="2" t="s">
        <v>17</v>
      </c>
    </row>
    <row r="17" spans="1:48" x14ac:dyDescent="0.15">
      <c r="P17" s="11" t="s">
        <v>18</v>
      </c>
      <c r="Q17" s="2" t="s">
        <v>19</v>
      </c>
      <c r="W17" s="2" t="s">
        <v>20</v>
      </c>
    </row>
    <row r="18" spans="1:48" x14ac:dyDescent="0.15">
      <c r="B18" s="6" t="s">
        <v>21</v>
      </c>
      <c r="P18" s="12">
        <v>0</v>
      </c>
      <c r="W18" s="2" t="s">
        <v>22</v>
      </c>
    </row>
    <row r="19" spans="1:48" x14ac:dyDescent="0.15">
      <c r="B19" s="6" t="s">
        <v>23</v>
      </c>
      <c r="P19" s="13" t="s">
        <v>24</v>
      </c>
      <c r="W19" s="2" t="s">
        <v>25</v>
      </c>
    </row>
    <row r="20" spans="1:48" x14ac:dyDescent="0.15">
      <c r="B20" s="6" t="s">
        <v>26</v>
      </c>
      <c r="P20" s="14" t="s">
        <v>27</v>
      </c>
      <c r="Q20" s="14" t="s">
        <v>28</v>
      </c>
      <c r="R20" s="14" t="s">
        <v>29</v>
      </c>
      <c r="S20" s="14">
        <v>0</v>
      </c>
      <c r="X20" s="15">
        <v>777.936601</v>
      </c>
      <c r="Z20" s="15">
        <v>152.3861374146156</v>
      </c>
    </row>
    <row r="21" spans="1:48" x14ac:dyDescent="0.15">
      <c r="B21" s="6" t="s">
        <v>30</v>
      </c>
      <c r="P21" s="2" t="s">
        <v>31</v>
      </c>
      <c r="Q21" s="2">
        <v>20241230</v>
      </c>
      <c r="R21" s="2" t="s">
        <v>32</v>
      </c>
      <c r="S21" s="2">
        <v>0</v>
      </c>
      <c r="W21" s="2" t="s">
        <v>33</v>
      </c>
      <c r="Y21" s="2">
        <v>4605.3201840000002</v>
      </c>
    </row>
    <row r="22" spans="1:48" x14ac:dyDescent="0.15">
      <c r="P22" s="16" t="s">
        <v>34</v>
      </c>
      <c r="Q22" s="17">
        <v>46111</v>
      </c>
      <c r="R22" s="16"/>
      <c r="S22" s="16">
        <v>0</v>
      </c>
    </row>
    <row r="23" spans="1:48" x14ac:dyDescent="0.15">
      <c r="P23" s="2"/>
    </row>
    <row r="24" spans="1:48" x14ac:dyDescent="0.15">
      <c r="P24" s="18" t="s">
        <v>35</v>
      </c>
      <c r="Q24" s="19" t="s">
        <v>36</v>
      </c>
      <c r="R24" s="20" t="s">
        <v>36</v>
      </c>
      <c r="S24" s="20" t="s">
        <v>36</v>
      </c>
      <c r="T24" s="20" t="s">
        <v>36</v>
      </c>
      <c r="U24" s="20" t="s">
        <v>36</v>
      </c>
      <c r="V24" s="20" t="s">
        <v>36</v>
      </c>
      <c r="W24" s="20" t="s">
        <v>36</v>
      </c>
      <c r="X24" s="20" t="s">
        <v>36</v>
      </c>
      <c r="Y24" s="20" t="s">
        <v>36</v>
      </c>
      <c r="Z24" s="20" t="s">
        <v>36</v>
      </c>
      <c r="AA24" s="20" t="s">
        <v>36</v>
      </c>
      <c r="AB24" s="20" t="s">
        <v>36</v>
      </c>
      <c r="AC24" s="20" t="s">
        <v>36</v>
      </c>
      <c r="AD24" s="20" t="s">
        <v>36</v>
      </c>
      <c r="AE24" s="20" t="s">
        <v>36</v>
      </c>
      <c r="AF24" s="20" t="s">
        <v>36</v>
      </c>
      <c r="AG24" s="20" t="s">
        <v>36</v>
      </c>
      <c r="AH24" s="20" t="s">
        <v>36</v>
      </c>
      <c r="AI24" s="21"/>
      <c r="AJ24" s="21"/>
    </row>
    <row r="25" spans="1:48" x14ac:dyDescent="0.15">
      <c r="B25" s="22"/>
      <c r="P25" s="23" t="s">
        <v>37</v>
      </c>
      <c r="Q25" s="24" t="s">
        <v>38</v>
      </c>
      <c r="R25" s="25" t="s">
        <v>38</v>
      </c>
      <c r="S25" s="25" t="s">
        <v>38</v>
      </c>
      <c r="T25" s="25" t="s">
        <v>38</v>
      </c>
      <c r="U25" s="25" t="s">
        <v>38</v>
      </c>
      <c r="V25" s="25" t="s">
        <v>38</v>
      </c>
      <c r="W25" s="25" t="s">
        <v>38</v>
      </c>
      <c r="X25" s="25" t="s">
        <v>38</v>
      </c>
      <c r="Y25" s="25" t="s">
        <v>38</v>
      </c>
      <c r="Z25" s="25" t="s">
        <v>38</v>
      </c>
      <c r="AA25" s="25" t="s">
        <v>38</v>
      </c>
      <c r="AB25" s="25" t="s">
        <v>38</v>
      </c>
      <c r="AC25" s="25" t="s">
        <v>38</v>
      </c>
      <c r="AD25" s="25" t="s">
        <v>38</v>
      </c>
      <c r="AE25" s="25" t="s">
        <v>38</v>
      </c>
      <c r="AF25" s="25" t="s">
        <v>38</v>
      </c>
      <c r="AG25" s="25" t="s">
        <v>38</v>
      </c>
      <c r="AH25" s="25" t="s">
        <v>38</v>
      </c>
      <c r="AI25" s="21"/>
      <c r="AJ25" s="21"/>
    </row>
    <row r="26" spans="1:48" ht="12" thickBot="1" x14ac:dyDescent="0.2">
      <c r="P26" s="26" t="s">
        <v>39</v>
      </c>
      <c r="Q26" s="27" t="s">
        <v>40</v>
      </c>
      <c r="R26" s="27" t="s">
        <v>41</v>
      </c>
      <c r="S26" s="27" t="s">
        <v>42</v>
      </c>
      <c r="T26" s="27" t="s">
        <v>43</v>
      </c>
      <c r="U26" s="27" t="s">
        <v>44</v>
      </c>
      <c r="V26" s="27" t="s">
        <v>45</v>
      </c>
      <c r="W26" s="2" t="s">
        <v>46</v>
      </c>
      <c r="X26" s="2" t="s">
        <v>47</v>
      </c>
      <c r="Y26" s="2" t="s">
        <v>48</v>
      </c>
      <c r="Z26" s="2" t="s">
        <v>49</v>
      </c>
      <c r="AA26" s="2" t="s">
        <v>50</v>
      </c>
      <c r="AB26" s="2" t="s">
        <v>51</v>
      </c>
      <c r="AC26" s="2" t="s">
        <v>52</v>
      </c>
      <c r="AD26" s="2" t="s">
        <v>53</v>
      </c>
      <c r="AE26" s="2" t="s">
        <v>54</v>
      </c>
      <c r="AF26" s="2" t="s">
        <v>55</v>
      </c>
      <c r="AG26" s="2" t="s">
        <v>56</v>
      </c>
      <c r="AH26" s="2" t="s">
        <v>10</v>
      </c>
    </row>
    <row r="27" spans="1:48" ht="16.5" customHeight="1" x14ac:dyDescent="0.15">
      <c r="B27" s="149" t="s">
        <v>57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P27" s="26" t="s">
        <v>58</v>
      </c>
      <c r="Q27" s="27" t="s">
        <v>59</v>
      </c>
      <c r="R27" s="27" t="s">
        <v>14</v>
      </c>
      <c r="S27" s="27" t="s">
        <v>14</v>
      </c>
      <c r="T27" s="27" t="s">
        <v>14</v>
      </c>
      <c r="U27" s="27" t="s">
        <v>14</v>
      </c>
      <c r="V27" s="27" t="s">
        <v>14</v>
      </c>
      <c r="W27" s="2" t="s">
        <v>25</v>
      </c>
      <c r="X27" s="2" t="s">
        <v>25</v>
      </c>
      <c r="Y27" s="2" t="s">
        <v>14</v>
      </c>
      <c r="Z27" s="2" t="s">
        <v>14</v>
      </c>
      <c r="AA27" s="2" t="s">
        <v>60</v>
      </c>
      <c r="AB27" s="2" t="s">
        <v>60</v>
      </c>
      <c r="AC27" s="2" t="s">
        <v>60</v>
      </c>
      <c r="AD27" s="2" t="s">
        <v>60</v>
      </c>
      <c r="AE27" s="2" t="s">
        <v>61</v>
      </c>
      <c r="AF27" s="2" t="s">
        <v>14</v>
      </c>
      <c r="AG27" s="2" t="s">
        <v>14</v>
      </c>
      <c r="AH27" s="2" t="s">
        <v>14</v>
      </c>
      <c r="AI27" s="150" t="s">
        <v>62</v>
      </c>
      <c r="AJ27" s="150"/>
      <c r="AK27" s="152" t="s">
        <v>63</v>
      </c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4"/>
    </row>
    <row r="28" spans="1:48" ht="11.25" customHeight="1" x14ac:dyDescent="0.15"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P28" s="26" t="s">
        <v>64</v>
      </c>
      <c r="Q28" s="27"/>
      <c r="R28" s="27"/>
      <c r="S28" s="28" t="s">
        <v>65</v>
      </c>
      <c r="T28" s="28" t="s">
        <v>65</v>
      </c>
      <c r="U28" s="28" t="s">
        <v>65</v>
      </c>
      <c r="V28" s="28" t="s">
        <v>65</v>
      </c>
      <c r="W28" s="28" t="s">
        <v>65</v>
      </c>
      <c r="X28" s="28" t="s">
        <v>66</v>
      </c>
      <c r="Y28" s="2" t="s">
        <v>65</v>
      </c>
      <c r="Z28" s="2" t="s">
        <v>65</v>
      </c>
      <c r="AA28" s="2" t="s">
        <v>65</v>
      </c>
      <c r="AB28" s="2" t="s">
        <v>65</v>
      </c>
      <c r="AC28" s="2" t="s">
        <v>65</v>
      </c>
      <c r="AD28" s="2" t="s">
        <v>65</v>
      </c>
      <c r="AE28" s="2" t="s">
        <v>12</v>
      </c>
      <c r="AF28" s="2" t="s">
        <v>12</v>
      </c>
      <c r="AG28" s="2" t="s">
        <v>12</v>
      </c>
      <c r="AH28" s="2" t="s">
        <v>12</v>
      </c>
      <c r="AI28" s="151"/>
      <c r="AJ28" s="151"/>
      <c r="AK28" s="155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7"/>
    </row>
    <row r="29" spans="1:48" ht="16.5" customHeight="1" x14ac:dyDescent="0.15">
      <c r="B29" s="158" t="s">
        <v>67</v>
      </c>
      <c r="C29" s="158"/>
      <c r="D29" s="158"/>
      <c r="E29" s="158"/>
      <c r="F29" s="158"/>
      <c r="G29" s="159"/>
      <c r="H29" s="160" t="s">
        <v>68</v>
      </c>
      <c r="I29" s="161"/>
      <c r="J29" s="161"/>
      <c r="K29" s="161"/>
      <c r="L29" s="161"/>
      <c r="M29" s="161"/>
      <c r="N29" s="161"/>
      <c r="P29" s="23"/>
      <c r="Q29" s="29"/>
      <c r="R29" s="28"/>
      <c r="S29" s="28"/>
      <c r="T29" s="28"/>
      <c r="U29" s="28"/>
      <c r="V29" s="28"/>
      <c r="W29" s="30"/>
      <c r="X29" s="30"/>
      <c r="Y29" s="28"/>
      <c r="Z29" s="28"/>
      <c r="AA29" s="28"/>
      <c r="AB29" s="28"/>
      <c r="AC29" s="28"/>
      <c r="AD29" s="31"/>
      <c r="AE29" s="28" t="s">
        <v>16</v>
      </c>
      <c r="AF29" s="28" t="s">
        <v>16</v>
      </c>
      <c r="AG29" s="28" t="s">
        <v>16</v>
      </c>
      <c r="AH29" s="28" t="s">
        <v>16</v>
      </c>
      <c r="AI29" s="28"/>
      <c r="AJ29" s="28"/>
      <c r="AK29" s="32" t="s">
        <v>69</v>
      </c>
      <c r="AL29" s="28" t="s">
        <v>70</v>
      </c>
      <c r="AM29" s="162" t="s">
        <v>71</v>
      </c>
      <c r="AN29" s="163"/>
      <c r="AO29" s="164"/>
      <c r="AP29" s="163" t="s">
        <v>72</v>
      </c>
      <c r="AQ29" s="163"/>
      <c r="AR29" s="163"/>
      <c r="AS29" s="165" t="s">
        <v>73</v>
      </c>
      <c r="AT29" s="165"/>
      <c r="AU29" s="165"/>
      <c r="AV29" s="166"/>
    </row>
    <row r="30" spans="1:48" ht="33.75" x14ac:dyDescent="0.15">
      <c r="B30" s="33" t="s">
        <v>74</v>
      </c>
      <c r="C30" s="33" t="s">
        <v>75</v>
      </c>
      <c r="D30" s="34" t="s">
        <v>76</v>
      </c>
      <c r="E30" s="33" t="s">
        <v>77</v>
      </c>
      <c r="F30" s="33" t="s">
        <v>78</v>
      </c>
      <c r="G30" s="35" t="s">
        <v>79</v>
      </c>
      <c r="H30" s="33" t="s">
        <v>74</v>
      </c>
      <c r="I30" s="33" t="s">
        <v>75</v>
      </c>
      <c r="J30" s="34" t="s">
        <v>76</v>
      </c>
      <c r="K30" s="33" t="s">
        <v>77</v>
      </c>
      <c r="L30" s="33" t="s">
        <v>78</v>
      </c>
      <c r="M30" s="33" t="s">
        <v>79</v>
      </c>
      <c r="N30" s="34" t="s">
        <v>80</v>
      </c>
      <c r="P30" s="16" t="s">
        <v>81</v>
      </c>
      <c r="Q30" s="36" t="s">
        <v>82</v>
      </c>
      <c r="R30" s="37" t="s">
        <v>83</v>
      </c>
      <c r="S30" s="37" t="s">
        <v>84</v>
      </c>
      <c r="T30" s="37" t="s">
        <v>85</v>
      </c>
      <c r="U30" s="37" t="s">
        <v>86</v>
      </c>
      <c r="V30" s="37" t="s">
        <v>87</v>
      </c>
      <c r="W30" s="37" t="s">
        <v>88</v>
      </c>
      <c r="X30" s="37" t="s">
        <v>89</v>
      </c>
      <c r="Y30" s="37" t="s">
        <v>90</v>
      </c>
      <c r="Z30" s="37" t="s">
        <v>91</v>
      </c>
      <c r="AA30" s="37" t="s">
        <v>92</v>
      </c>
      <c r="AB30" s="37" t="s">
        <v>93</v>
      </c>
      <c r="AC30" s="37" t="s">
        <v>94</v>
      </c>
      <c r="AD30" s="38" t="s">
        <v>95</v>
      </c>
      <c r="AE30" s="37" t="s">
        <v>96</v>
      </c>
      <c r="AF30" s="16" t="s">
        <v>97</v>
      </c>
      <c r="AG30" s="16" t="s">
        <v>98</v>
      </c>
      <c r="AH30" s="16" t="s">
        <v>99</v>
      </c>
      <c r="AI30" s="39" t="s">
        <v>100</v>
      </c>
      <c r="AJ30" s="39" t="s">
        <v>101</v>
      </c>
      <c r="AK30" s="40" t="s">
        <v>102</v>
      </c>
      <c r="AL30" s="39" t="s">
        <v>103</v>
      </c>
      <c r="AM30" s="41">
        <v>30</v>
      </c>
      <c r="AN30" s="39">
        <v>40</v>
      </c>
      <c r="AO30" s="42">
        <v>50</v>
      </c>
      <c r="AP30" s="39">
        <v>30</v>
      </c>
      <c r="AQ30" s="39">
        <v>40</v>
      </c>
      <c r="AR30" s="39">
        <v>50</v>
      </c>
      <c r="AS30" s="43" t="s">
        <v>104</v>
      </c>
      <c r="AT30" s="43">
        <v>30</v>
      </c>
      <c r="AU30" s="43">
        <v>40</v>
      </c>
      <c r="AV30" s="44">
        <v>50</v>
      </c>
    </row>
    <row r="31" spans="1:48" x14ac:dyDescent="0.15">
      <c r="A31" s="45">
        <v>45656</v>
      </c>
      <c r="B31" s="46">
        <v>11183</v>
      </c>
      <c r="C31" s="46">
        <v>120891</v>
      </c>
      <c r="D31" s="46">
        <v>19078148.510000002</v>
      </c>
      <c r="E31" s="47">
        <v>9.7037330346383364</v>
      </c>
      <c r="F31" s="47">
        <v>0.85332362785974625</v>
      </c>
      <c r="G31" s="48">
        <v>8.7937665310219462</v>
      </c>
      <c r="H31" s="49">
        <v>11596.092390869784</v>
      </c>
      <c r="I31" s="49">
        <v>125356.63106721264</v>
      </c>
      <c r="J31" s="49">
        <v>18398519.742332555</v>
      </c>
      <c r="K31" s="47">
        <v>9.7037330346383364</v>
      </c>
      <c r="L31" s="47">
        <v>0.82292532766201731</v>
      </c>
      <c r="M31" s="47">
        <v>8.4805025522086428</v>
      </c>
      <c r="N31" s="3">
        <v>-3.5623413210732369</v>
      </c>
      <c r="P31" s="50">
        <v>45656</v>
      </c>
      <c r="Q31" s="49">
        <v>2399.4899999999998</v>
      </c>
      <c r="R31" s="49">
        <v>19078148.510000002</v>
      </c>
      <c r="S31" s="49">
        <v>1555808.99</v>
      </c>
      <c r="T31" s="49">
        <v>2169508.19</v>
      </c>
      <c r="U31" s="49">
        <v>22520890.960000001</v>
      </c>
      <c r="V31" s="49">
        <v>22357459.57</v>
      </c>
      <c r="W31" s="49">
        <v>23079888110</v>
      </c>
      <c r="X31" s="49">
        <v>22257703719</v>
      </c>
      <c r="Y31" s="49">
        <v>389368.99</v>
      </c>
      <c r="Z31" s="49">
        <v>412061.36</v>
      </c>
      <c r="AA31" s="49">
        <v>6636.7790000000005</v>
      </c>
      <c r="AB31" s="49">
        <v>11183</v>
      </c>
      <c r="AC31" s="49">
        <v>99008.922999999995</v>
      </c>
      <c r="AD31" s="49">
        <v>120891</v>
      </c>
      <c r="AE31" s="51">
        <v>10.51</v>
      </c>
      <c r="AF31" s="51">
        <v>483530.56</v>
      </c>
      <c r="AG31" s="51">
        <v>2470041.77</v>
      </c>
      <c r="AH31" s="51">
        <v>24309923.800000001</v>
      </c>
      <c r="AI31" s="52">
        <v>-3.5623413210732369</v>
      </c>
      <c r="AJ31" s="46">
        <v>18398519.742332555</v>
      </c>
      <c r="AK31" s="53">
        <v>26.485343808175323</v>
      </c>
      <c r="AL31" s="46">
        <v>15558.089900000001</v>
      </c>
      <c r="AM31" s="54">
        <v>54681.336999999978</v>
      </c>
      <c r="AN31" s="46">
        <v>210262.23599999998</v>
      </c>
      <c r="AO31" s="55">
        <v>365843.13500000001</v>
      </c>
      <c r="AP31" s="56">
        <v>22302778.232999999</v>
      </c>
      <c r="AQ31" s="56">
        <v>22147197.333999999</v>
      </c>
      <c r="AR31" s="56">
        <v>21991616.434999999</v>
      </c>
      <c r="AS31" s="57">
        <v>9.7037330346383364</v>
      </c>
      <c r="AT31" s="58">
        <v>9.7275243798546907</v>
      </c>
      <c r="AU31" s="58">
        <v>9.7958588496857253</v>
      </c>
      <c r="AV31" s="59">
        <v>9.8651601914409266</v>
      </c>
    </row>
    <row r="32" spans="1:48" x14ac:dyDescent="0.15">
      <c r="A32" s="45">
        <v>45688</v>
      </c>
      <c r="B32" s="46">
        <v>10727</v>
      </c>
      <c r="C32" s="46">
        <v>135884</v>
      </c>
      <c r="D32" s="46">
        <v>20018307.07</v>
      </c>
      <c r="E32" s="47">
        <v>9.4104852277386648</v>
      </c>
      <c r="F32" s="47">
        <v>0.89843721532612764</v>
      </c>
      <c r="G32" s="48">
        <v>9.5471933017636932</v>
      </c>
      <c r="H32" s="49">
        <v>11123.248061956556</v>
      </c>
      <c r="I32" s="49">
        <v>140903.46225887057</v>
      </c>
      <c r="J32" s="49">
        <v>19305186.645466067</v>
      </c>
      <c r="K32" s="47">
        <v>9.4104852277386648</v>
      </c>
      <c r="L32" s="47">
        <v>0.86643181516066536</v>
      </c>
      <c r="M32" s="47">
        <v>9.2070896897722303</v>
      </c>
      <c r="N32" s="3">
        <v>-3.5623413210732258</v>
      </c>
      <c r="P32" s="50">
        <v>45688</v>
      </c>
      <c r="Q32" s="49">
        <v>2517.37</v>
      </c>
      <c r="R32" s="49">
        <v>20018307.07</v>
      </c>
      <c r="S32" s="49">
        <v>1555808.99</v>
      </c>
      <c r="T32" s="49">
        <v>2096774.04</v>
      </c>
      <c r="U32" s="49">
        <v>22520890.960000001</v>
      </c>
      <c r="V32" s="49">
        <v>22281253.190000001</v>
      </c>
      <c r="W32" s="49">
        <v>23079888110</v>
      </c>
      <c r="X32" s="49">
        <v>22257703719</v>
      </c>
      <c r="Y32" s="49">
        <v>389368.99</v>
      </c>
      <c r="Z32" s="49">
        <v>412061.36</v>
      </c>
      <c r="AA32" s="49">
        <v>6636.7790000000005</v>
      </c>
      <c r="AB32" s="49">
        <v>10727</v>
      </c>
      <c r="AC32" s="49">
        <v>99008.922999999995</v>
      </c>
      <c r="AD32" s="49">
        <v>135884</v>
      </c>
      <c r="AE32" s="51">
        <v>10.37</v>
      </c>
      <c r="AF32" s="51">
        <v>484998.63</v>
      </c>
      <c r="AG32" s="51">
        <v>2405839.7999999998</v>
      </c>
      <c r="AH32" s="51">
        <v>24005063.760000002</v>
      </c>
      <c r="AI32" s="52">
        <v>-3.5623413210732369</v>
      </c>
      <c r="AJ32" s="46">
        <v>19305186.645466067</v>
      </c>
      <c r="AK32" s="53">
        <v>26.485343808175323</v>
      </c>
      <c r="AL32" s="46">
        <v>15558.089900000001</v>
      </c>
      <c r="AM32" s="54">
        <v>54681.336999999978</v>
      </c>
      <c r="AN32" s="46">
        <v>210262.23599999998</v>
      </c>
      <c r="AO32" s="55">
        <v>365843.13500000001</v>
      </c>
      <c r="AP32" s="56">
        <v>22226571.853</v>
      </c>
      <c r="AQ32" s="56">
        <v>22070990.954</v>
      </c>
      <c r="AR32" s="56">
        <v>21915410.055</v>
      </c>
      <c r="AS32" s="57">
        <v>9.4104852277386648</v>
      </c>
      <c r="AT32" s="58">
        <v>9.433636702355388</v>
      </c>
      <c r="AU32" s="58">
        <v>9.5001354690872848</v>
      </c>
      <c r="AV32" s="59">
        <v>9.5675784059610649</v>
      </c>
    </row>
    <row r="33" spans="1:48" x14ac:dyDescent="0.15">
      <c r="A33" s="45">
        <v>45716</v>
      </c>
      <c r="B33" s="46">
        <v>10778</v>
      </c>
      <c r="C33" s="46">
        <v>137877</v>
      </c>
      <c r="D33" s="46">
        <v>20185161.73</v>
      </c>
      <c r="E33" s="47">
        <v>9.3045335142507692</v>
      </c>
      <c r="F33" s="47">
        <v>0.89926905893723874</v>
      </c>
      <c r="G33" s="48">
        <v>9.6648484049192103</v>
      </c>
      <c r="H33" s="49">
        <v>11176.131967163958</v>
      </c>
      <c r="I33" s="49">
        <v>142970.08231923037</v>
      </c>
      <c r="J33" s="49">
        <v>19466097.372966748</v>
      </c>
      <c r="K33" s="47">
        <v>9.3045335142507692</v>
      </c>
      <c r="L33" s="47">
        <v>0.86723402566309105</v>
      </c>
      <c r="M33" s="47">
        <v>9.3205535165716853</v>
      </c>
      <c r="N33" s="3">
        <v>-3.5623413210732369</v>
      </c>
      <c r="P33" s="50">
        <v>45716</v>
      </c>
      <c r="Q33" s="49">
        <v>2532.7800000000002</v>
      </c>
      <c r="R33" s="49">
        <v>20185161.73</v>
      </c>
      <c r="S33" s="49">
        <v>1555808.99</v>
      </c>
      <c r="T33" s="49">
        <v>2088513.02</v>
      </c>
      <c r="U33" s="49">
        <v>22520890.960000001</v>
      </c>
      <c r="V33" s="49">
        <v>22446187.300000001</v>
      </c>
      <c r="W33" s="49">
        <v>23079888110</v>
      </c>
      <c r="X33" s="49">
        <v>22257703719</v>
      </c>
      <c r="Y33" s="49">
        <v>389368.99</v>
      </c>
      <c r="Z33" s="49">
        <v>412061.36</v>
      </c>
      <c r="AA33" s="49">
        <v>6636.7790000000005</v>
      </c>
      <c r="AB33" s="49">
        <v>10778</v>
      </c>
      <c r="AC33" s="49">
        <v>99008.922999999995</v>
      </c>
      <c r="AD33" s="49">
        <v>137877</v>
      </c>
      <c r="AE33" s="51">
        <v>10.29</v>
      </c>
      <c r="AF33" s="51">
        <v>486489.73</v>
      </c>
      <c r="AG33" s="51">
        <v>2386392.4500000002</v>
      </c>
      <c r="AH33" s="51">
        <v>24026665.969999999</v>
      </c>
      <c r="AI33" s="52">
        <v>-3.5623413210732369</v>
      </c>
      <c r="AJ33" s="46">
        <v>19466097.372966748</v>
      </c>
      <c r="AK33" s="53">
        <v>26.485343808175323</v>
      </c>
      <c r="AL33" s="46">
        <v>15558.089900000001</v>
      </c>
      <c r="AM33" s="54">
        <v>54681.336999999978</v>
      </c>
      <c r="AN33" s="46">
        <v>210262.23599999998</v>
      </c>
      <c r="AO33" s="55">
        <v>365843.13500000001</v>
      </c>
      <c r="AP33" s="56">
        <v>22391505.963</v>
      </c>
      <c r="AQ33" s="56">
        <v>22235925.063999999</v>
      </c>
      <c r="AR33" s="56">
        <v>22080344.164999999</v>
      </c>
      <c r="AS33" s="57">
        <v>9.3045335142507692</v>
      </c>
      <c r="AT33" s="58">
        <v>9.3272557167485068</v>
      </c>
      <c r="AU33" s="58">
        <v>9.392516902214723</v>
      </c>
      <c r="AV33" s="59">
        <v>9.4586977648226345</v>
      </c>
    </row>
    <row r="34" spans="1:48" x14ac:dyDescent="0.15">
      <c r="A34" s="45">
        <v>45747</v>
      </c>
      <c r="B34" s="46">
        <v>10930</v>
      </c>
      <c r="C34" s="46">
        <v>139309</v>
      </c>
      <c r="D34" s="46">
        <v>19765116.739999998</v>
      </c>
      <c r="E34" s="47">
        <v>9.3545484672013313</v>
      </c>
      <c r="F34" s="47">
        <v>0.87088963159275101</v>
      </c>
      <c r="G34" s="48">
        <v>9.3097987000253521</v>
      </c>
      <c r="H34" s="49">
        <v>11333.746743468366</v>
      </c>
      <c r="I34" s="49">
        <v>144454.97942230874</v>
      </c>
      <c r="J34" s="49">
        <v>19061015.819212615</v>
      </c>
      <c r="K34" s="47">
        <v>9.3545484672013313</v>
      </c>
      <c r="L34" s="47">
        <v>0.83986557038558007</v>
      </c>
      <c r="M34" s="47">
        <v>8.9781518940256095</v>
      </c>
      <c r="N34" s="3">
        <v>-3.5623413210732369</v>
      </c>
      <c r="P34" s="50">
        <v>45747</v>
      </c>
      <c r="Q34" s="49">
        <v>2481.12</v>
      </c>
      <c r="R34" s="49">
        <v>19765116.739999998</v>
      </c>
      <c r="S34" s="49">
        <v>1555808.99</v>
      </c>
      <c r="T34" s="49">
        <v>2123044.48</v>
      </c>
      <c r="U34" s="49">
        <v>22520890.960000001</v>
      </c>
      <c r="V34" s="49">
        <v>22695317.550000001</v>
      </c>
      <c r="W34" s="49">
        <v>23079888110</v>
      </c>
      <c r="X34" s="49">
        <v>22257703719</v>
      </c>
      <c r="Y34" s="49">
        <v>389368.99</v>
      </c>
      <c r="Z34" s="49">
        <v>412061.36</v>
      </c>
      <c r="AA34" s="49">
        <v>6636.7790000000005</v>
      </c>
      <c r="AB34" s="49">
        <v>10930</v>
      </c>
      <c r="AC34" s="49">
        <v>99008.922999999995</v>
      </c>
      <c r="AD34" s="49">
        <v>139309</v>
      </c>
      <c r="AE34" s="51">
        <v>10.3</v>
      </c>
      <c r="AF34" s="51">
        <v>487462.99</v>
      </c>
      <c r="AG34" s="51">
        <v>2405437.2000000002</v>
      </c>
      <c r="AH34" s="51">
        <v>24146636.379999999</v>
      </c>
      <c r="AI34" s="52">
        <v>-3.5623413210732369</v>
      </c>
      <c r="AJ34" s="46">
        <v>19061015.819212615</v>
      </c>
      <c r="AK34" s="53">
        <v>26.485343808175323</v>
      </c>
      <c r="AL34" s="46">
        <v>15558.089900000001</v>
      </c>
      <c r="AM34" s="54">
        <v>54681.336999999978</v>
      </c>
      <c r="AN34" s="46">
        <v>210262.23599999998</v>
      </c>
      <c r="AO34" s="55">
        <v>365843.13500000001</v>
      </c>
      <c r="AP34" s="56">
        <v>22640636.213</v>
      </c>
      <c r="AQ34" s="56">
        <v>22485055.313999999</v>
      </c>
      <c r="AR34" s="56">
        <v>22329474.414999999</v>
      </c>
      <c r="AS34" s="57">
        <v>9.354548467201333</v>
      </c>
      <c r="AT34" s="58">
        <v>9.3771414373107227</v>
      </c>
      <c r="AU34" s="58">
        <v>9.4420247153144281</v>
      </c>
      <c r="AV34" s="59">
        <v>9.5078121434592671</v>
      </c>
    </row>
    <row r="35" spans="1:48" x14ac:dyDescent="0.15">
      <c r="A35" s="45">
        <v>45777</v>
      </c>
      <c r="B35" s="46">
        <v>11197</v>
      </c>
      <c r="C35" s="46">
        <v>143433</v>
      </c>
      <c r="D35" s="46">
        <v>20365419.170000002</v>
      </c>
      <c r="E35" s="47">
        <v>9.3633637977475708</v>
      </c>
      <c r="F35" s="47">
        <v>0.87598699857306539</v>
      </c>
      <c r="G35" s="48">
        <v>9.3554732839045602</v>
      </c>
      <c r="H35" s="49">
        <v>11600.411681358861</v>
      </c>
      <c r="I35" s="49">
        <v>148600.68310193316</v>
      </c>
      <c r="J35" s="49">
        <v>19657198.788291503</v>
      </c>
      <c r="K35" s="47">
        <v>9.3633637977475708</v>
      </c>
      <c r="L35" s="47">
        <v>0.84552399453065463</v>
      </c>
      <c r="M35" s="47">
        <v>9.0301307606359575</v>
      </c>
      <c r="N35" s="3">
        <v>-3.4775634903295827</v>
      </c>
      <c r="P35" s="50">
        <v>45777</v>
      </c>
      <c r="Q35" s="49">
        <v>2556.61</v>
      </c>
      <c r="R35" s="49">
        <v>20365419.170000002</v>
      </c>
      <c r="S35" s="49">
        <v>1680584.33</v>
      </c>
      <c r="T35" s="49">
        <v>2176845.42</v>
      </c>
      <c r="U35" s="49">
        <v>23361074.440000001</v>
      </c>
      <c r="V35" s="49">
        <v>23248540.449999999</v>
      </c>
      <c r="W35" s="49">
        <v>23386273788</v>
      </c>
      <c r="X35" s="49">
        <v>22573001269</v>
      </c>
      <c r="Y35" s="49">
        <v>432651.31</v>
      </c>
      <c r="Z35" s="49">
        <v>455776.09</v>
      </c>
      <c r="AA35" s="49">
        <v>7136.61</v>
      </c>
      <c r="AB35" s="49">
        <v>11197</v>
      </c>
      <c r="AC35" s="49">
        <v>101333.63400000001</v>
      </c>
      <c r="AD35" s="49">
        <v>143433</v>
      </c>
      <c r="AE35" s="51">
        <v>10.08</v>
      </c>
      <c r="AF35" s="51">
        <v>492370.34</v>
      </c>
      <c r="AG35" s="51">
        <v>2395040.04</v>
      </c>
      <c r="AH35" s="51">
        <v>24553024.280000001</v>
      </c>
      <c r="AI35" s="52">
        <v>-3.4775634903295605</v>
      </c>
      <c r="AJ35" s="46">
        <v>19657198.788291503</v>
      </c>
      <c r="AK35" s="53">
        <v>27.120096377430819</v>
      </c>
      <c r="AL35" s="46">
        <v>16805.8433</v>
      </c>
      <c r="AM35" s="54">
        <v>48399.208999999995</v>
      </c>
      <c r="AN35" s="46">
        <v>216457.64199999999</v>
      </c>
      <c r="AO35" s="55">
        <v>384516.07500000001</v>
      </c>
      <c r="AP35" s="56">
        <v>23200141.241</v>
      </c>
      <c r="AQ35" s="56">
        <v>23032082.807999998</v>
      </c>
      <c r="AR35" s="56">
        <v>22864024.375</v>
      </c>
      <c r="AS35" s="57">
        <v>9.3633637977475708</v>
      </c>
      <c r="AT35" s="58">
        <v>9.3828972737157823</v>
      </c>
      <c r="AU35" s="58">
        <v>9.4513615557334276</v>
      </c>
      <c r="AV35" s="59">
        <v>9.5208323097320005</v>
      </c>
    </row>
    <row r="36" spans="1:48" x14ac:dyDescent="0.15">
      <c r="A36" s="45">
        <v>45807</v>
      </c>
      <c r="B36" s="46">
        <v>11078</v>
      </c>
      <c r="C36" s="46">
        <v>144278</v>
      </c>
      <c r="D36" s="46">
        <v>21524960.300000001</v>
      </c>
      <c r="E36" s="47">
        <v>9.3408564833246412</v>
      </c>
      <c r="F36" s="47">
        <v>0.91189924080539164</v>
      </c>
      <c r="G36" s="48">
        <v>9.7624799442462287</v>
      </c>
      <c r="H36" s="49">
        <v>11477.124283834371</v>
      </c>
      <c r="I36" s="49">
        <v>149476.1272272121</v>
      </c>
      <c r="J36" s="49">
        <v>20776416.13929927</v>
      </c>
      <c r="K36" s="47">
        <v>9.3408564833246412</v>
      </c>
      <c r="L36" s="47">
        <v>0.88018736573855094</v>
      </c>
      <c r="M36" s="47">
        <v>9.4229835059543756</v>
      </c>
      <c r="N36" s="3">
        <v>-3.4775634903295716</v>
      </c>
      <c r="P36" s="50">
        <v>45807</v>
      </c>
      <c r="Q36" s="49">
        <v>2697.67</v>
      </c>
      <c r="R36" s="49">
        <v>21524960.300000001</v>
      </c>
      <c r="S36" s="49">
        <v>1680584.33</v>
      </c>
      <c r="T36" s="49">
        <v>2204866.02</v>
      </c>
      <c r="U36" s="49">
        <v>23361074.440000001</v>
      </c>
      <c r="V36" s="49">
        <v>23604538.02</v>
      </c>
      <c r="W36" s="49">
        <v>23386273788</v>
      </c>
      <c r="X36" s="49">
        <v>22573001269</v>
      </c>
      <c r="Y36" s="49">
        <v>432651.31</v>
      </c>
      <c r="Z36" s="49">
        <v>455776.09</v>
      </c>
      <c r="AA36" s="49">
        <v>7136.61</v>
      </c>
      <c r="AB36" s="49">
        <v>11078</v>
      </c>
      <c r="AC36" s="49">
        <v>101333.63400000001</v>
      </c>
      <c r="AD36" s="49">
        <v>144278</v>
      </c>
      <c r="AE36" s="51">
        <v>9.9600000000000009</v>
      </c>
      <c r="AF36" s="51">
        <v>495064.01</v>
      </c>
      <c r="AG36" s="51">
        <v>2391925.88</v>
      </c>
      <c r="AH36" s="51">
        <v>24765421.420000002</v>
      </c>
      <c r="AI36" s="52">
        <v>-3.4775634903295605</v>
      </c>
      <c r="AJ36" s="46">
        <v>20776416.13929927</v>
      </c>
      <c r="AK36" s="53">
        <v>27.120096377430819</v>
      </c>
      <c r="AL36" s="46">
        <v>16805.8433</v>
      </c>
      <c r="AM36" s="54">
        <v>48399.208999999995</v>
      </c>
      <c r="AN36" s="46">
        <v>216457.64199999999</v>
      </c>
      <c r="AO36" s="55">
        <v>384516.07500000001</v>
      </c>
      <c r="AP36" s="56">
        <v>23556138.811000001</v>
      </c>
      <c r="AQ36" s="56">
        <v>23388080.377999999</v>
      </c>
      <c r="AR36" s="56">
        <v>23220021.945</v>
      </c>
      <c r="AS36" s="57">
        <v>9.3408564833246412</v>
      </c>
      <c r="AT36" s="58">
        <v>9.3600485108807163</v>
      </c>
      <c r="AU36" s="58">
        <v>9.4273064927295511</v>
      </c>
      <c r="AV36" s="59">
        <v>9.4955380542815426</v>
      </c>
    </row>
    <row r="37" spans="1:48" x14ac:dyDescent="0.15">
      <c r="A37" s="45">
        <v>45838</v>
      </c>
      <c r="B37" s="46">
        <v>11214</v>
      </c>
      <c r="C37" s="46">
        <v>146266</v>
      </c>
      <c r="D37" s="46">
        <v>24490350.329999998</v>
      </c>
      <c r="E37" s="47">
        <v>9.364987591907683</v>
      </c>
      <c r="F37" s="47">
        <v>1.0279432503021706</v>
      </c>
      <c r="G37" s="48">
        <v>10.976450745011341</v>
      </c>
      <c r="H37" s="49">
        <v>11621.232969128279</v>
      </c>
      <c r="I37" s="49">
        <v>151577.60491015846</v>
      </c>
      <c r="J37" s="49">
        <v>23632155.841827221</v>
      </c>
      <c r="K37" s="47">
        <v>9.364987591907683</v>
      </c>
      <c r="L37" s="47">
        <v>0.99192191048151923</v>
      </c>
      <c r="M37" s="47">
        <v>10.591812330201508</v>
      </c>
      <c r="N37" s="3">
        <v>-3.504214829959007</v>
      </c>
      <c r="P37" s="50">
        <v>45838</v>
      </c>
      <c r="Q37" s="49">
        <v>3071.7</v>
      </c>
      <c r="R37" s="49">
        <v>24490350.329999998</v>
      </c>
      <c r="S37" s="49">
        <v>1826498.63</v>
      </c>
      <c r="T37" s="49">
        <v>2231172.0699999998</v>
      </c>
      <c r="U37" s="49">
        <v>23613432.859999999</v>
      </c>
      <c r="V37" s="49">
        <v>23824613.199999999</v>
      </c>
      <c r="W37" s="49">
        <v>23447609147</v>
      </c>
      <c r="X37" s="49">
        <v>22625954550</v>
      </c>
      <c r="Y37" s="49">
        <v>432651.31</v>
      </c>
      <c r="Z37" s="49">
        <v>455776.09</v>
      </c>
      <c r="AA37" s="49">
        <v>7717.4560000000001</v>
      </c>
      <c r="AB37" s="49">
        <v>11214</v>
      </c>
      <c r="AC37" s="49">
        <v>102173.539</v>
      </c>
      <c r="AD37" s="49">
        <v>146266</v>
      </c>
      <c r="AE37" s="51">
        <v>9.91</v>
      </c>
      <c r="AF37" s="51">
        <v>495853.78</v>
      </c>
      <c r="AG37" s="51">
        <v>2386745.6</v>
      </c>
      <c r="AH37" s="51">
        <v>24824757.98</v>
      </c>
      <c r="AI37" s="52">
        <v>-3.5042148299590181</v>
      </c>
      <c r="AJ37" s="46">
        <v>23632155.841827221</v>
      </c>
      <c r="AK37" s="53">
        <v>24.95354130104111</v>
      </c>
      <c r="AL37" s="46">
        <v>18264.9863</v>
      </c>
      <c r="AM37" s="54">
        <v>92173.498999999953</v>
      </c>
      <c r="AN37" s="46">
        <v>274823.36199999996</v>
      </c>
      <c r="AO37" s="55">
        <v>457473.22499999998</v>
      </c>
      <c r="AP37" s="56">
        <v>23732439.700999998</v>
      </c>
      <c r="AQ37" s="56">
        <v>23549789.838</v>
      </c>
      <c r="AR37" s="56">
        <v>23367139.974999998</v>
      </c>
      <c r="AS37" s="57">
        <v>9.3649875919076813</v>
      </c>
      <c r="AT37" s="58">
        <v>9.4013599027747077</v>
      </c>
      <c r="AU37" s="58">
        <v>9.4742759292050032</v>
      </c>
      <c r="AV37" s="59">
        <v>9.5483318557045607</v>
      </c>
    </row>
    <row r="38" spans="1:48" x14ac:dyDescent="0.15">
      <c r="A38" s="45">
        <v>45869</v>
      </c>
      <c r="B38" s="46">
        <v>11421</v>
      </c>
      <c r="C38" s="46">
        <v>148216</v>
      </c>
      <c r="D38" s="46">
        <v>25921939.800000001</v>
      </c>
      <c r="E38" s="47">
        <v>9.4014220211519941</v>
      </c>
      <c r="F38" s="47">
        <v>1.083110991367592</v>
      </c>
      <c r="G38" s="48">
        <v>11.520714514578021</v>
      </c>
      <c r="H38" s="49">
        <v>11835.750110612991</v>
      </c>
      <c r="I38" s="49">
        <v>153598.41856182602</v>
      </c>
      <c r="J38" s="49">
        <v>25013579.341315351</v>
      </c>
      <c r="K38" s="47">
        <v>9.4014220211519941</v>
      </c>
      <c r="L38" s="47">
        <v>1.0451564553831727</v>
      </c>
      <c r="M38" s="47">
        <v>11.117003928040937</v>
      </c>
      <c r="N38" s="3">
        <v>-3.5042148299590181</v>
      </c>
      <c r="P38" s="50">
        <v>45869</v>
      </c>
      <c r="Q38" s="49">
        <v>3245.44</v>
      </c>
      <c r="R38" s="49">
        <v>25921939.800000001</v>
      </c>
      <c r="S38" s="49">
        <v>1826498.63</v>
      </c>
      <c r="T38" s="49">
        <v>2250028.83</v>
      </c>
      <c r="U38" s="49">
        <v>23613432.859999999</v>
      </c>
      <c r="V38" s="49">
        <v>23932856.379999999</v>
      </c>
      <c r="W38" s="49">
        <v>23447609147</v>
      </c>
      <c r="X38" s="49">
        <v>22625954550</v>
      </c>
      <c r="Y38" s="49">
        <v>432651.31</v>
      </c>
      <c r="Z38" s="49">
        <v>455776.09</v>
      </c>
      <c r="AA38" s="49">
        <v>7717.4560000000001</v>
      </c>
      <c r="AB38" s="49">
        <v>11421</v>
      </c>
      <c r="AC38" s="49">
        <v>102173.539</v>
      </c>
      <c r="AD38" s="49">
        <v>148216</v>
      </c>
      <c r="AE38" s="51">
        <v>9.9600000000000009</v>
      </c>
      <c r="AF38" s="51">
        <v>497480.91</v>
      </c>
      <c r="AG38" s="51">
        <v>2388903.12</v>
      </c>
      <c r="AH38" s="51">
        <v>24769746.300000001</v>
      </c>
      <c r="AI38" s="52">
        <v>-3.5042148299590181</v>
      </c>
      <c r="AJ38" s="46">
        <v>25013579.341315351</v>
      </c>
      <c r="AK38" s="53">
        <v>24.95354130104111</v>
      </c>
      <c r="AL38" s="46">
        <v>18264.9863</v>
      </c>
      <c r="AM38" s="54">
        <v>92173.498999999953</v>
      </c>
      <c r="AN38" s="46">
        <v>274823.36199999996</v>
      </c>
      <c r="AO38" s="55">
        <v>457473.22499999998</v>
      </c>
      <c r="AP38" s="56">
        <v>23840682.880999997</v>
      </c>
      <c r="AQ38" s="56">
        <v>23658033.017999999</v>
      </c>
      <c r="AR38" s="56">
        <v>23475383.154999997</v>
      </c>
      <c r="AS38" s="57">
        <v>9.4014220211519941</v>
      </c>
      <c r="AT38" s="58">
        <v>9.4377700556269577</v>
      </c>
      <c r="AU38" s="58">
        <v>9.5106335691056234</v>
      </c>
      <c r="AV38" s="59">
        <v>9.5846309095098565</v>
      </c>
    </row>
    <row r="39" spans="1:48" x14ac:dyDescent="0.15">
      <c r="A39" s="45">
        <v>45898</v>
      </c>
      <c r="B39" s="46">
        <v>11372</v>
      </c>
      <c r="C39" s="46">
        <v>147999</v>
      </c>
      <c r="D39" s="46">
        <v>25497398.34</v>
      </c>
      <c r="E39" s="47">
        <v>9.3780064332750026</v>
      </c>
      <c r="F39" s="47">
        <v>1.0620966293688501</v>
      </c>
      <c r="G39" s="48">
        <v>11.325398813977385</v>
      </c>
      <c r="H39" s="49">
        <v>11784.970690648011</v>
      </c>
      <c r="I39" s="49">
        <v>153373.53827340971</v>
      </c>
      <c r="J39" s="49">
        <v>24603914.726115994</v>
      </c>
      <c r="K39" s="47">
        <v>9.3780064332750026</v>
      </c>
      <c r="L39" s="47">
        <v>1.024878481774012</v>
      </c>
      <c r="M39" s="47">
        <v>10.928532509185986</v>
      </c>
      <c r="N39" s="3">
        <v>-3.5042148299590181</v>
      </c>
      <c r="P39" s="50">
        <v>45898</v>
      </c>
      <c r="Q39" s="49">
        <v>3186.01</v>
      </c>
      <c r="R39" s="49">
        <v>25497398.34</v>
      </c>
      <c r="S39" s="49">
        <v>1826498.63</v>
      </c>
      <c r="T39" s="49">
        <v>2251346.62</v>
      </c>
      <c r="U39" s="49">
        <v>23613432.859999999</v>
      </c>
      <c r="V39" s="49">
        <v>24006665.34</v>
      </c>
      <c r="W39" s="49">
        <v>23447609147</v>
      </c>
      <c r="X39" s="49">
        <v>22625954550</v>
      </c>
      <c r="Y39" s="49">
        <v>432651.31</v>
      </c>
      <c r="Z39" s="49">
        <v>455776.09</v>
      </c>
      <c r="AA39" s="49">
        <v>7717.4560000000001</v>
      </c>
      <c r="AB39" s="49">
        <v>11372</v>
      </c>
      <c r="AC39" s="49">
        <v>102173.539</v>
      </c>
      <c r="AD39" s="49">
        <v>147999</v>
      </c>
      <c r="AE39" s="51">
        <v>9.94</v>
      </c>
      <c r="AF39" s="51">
        <v>496051.41</v>
      </c>
      <c r="AG39" s="51">
        <v>2371777.4700000002</v>
      </c>
      <c r="AH39" s="51">
        <v>24693625.879999999</v>
      </c>
      <c r="AI39" s="52">
        <v>-3.5042148299590181</v>
      </c>
      <c r="AJ39" s="46">
        <v>24603914.726115994</v>
      </c>
      <c r="AK39" s="53">
        <v>24.95354130104111</v>
      </c>
      <c r="AL39" s="46">
        <v>18264.9863</v>
      </c>
      <c r="AM39" s="54">
        <v>92173.498999999953</v>
      </c>
      <c r="AN39" s="46">
        <v>274823.36199999996</v>
      </c>
      <c r="AO39" s="55">
        <v>457473.22499999998</v>
      </c>
      <c r="AP39" s="56">
        <v>23914491.840999998</v>
      </c>
      <c r="AQ39" s="56">
        <v>23731841.978</v>
      </c>
      <c r="AR39" s="56">
        <v>23549192.114999998</v>
      </c>
      <c r="AS39" s="57">
        <v>9.3780064332750008</v>
      </c>
      <c r="AT39" s="58">
        <v>9.4141520337061824</v>
      </c>
      <c r="AU39" s="58">
        <v>9.4866071587997833</v>
      </c>
      <c r="AV39" s="59">
        <v>9.5601862221251004</v>
      </c>
    </row>
    <row r="40" spans="1:48" x14ac:dyDescent="0.15">
      <c r="A40" s="45">
        <v>45930</v>
      </c>
      <c r="B40" s="46">
        <v>11976</v>
      </c>
      <c r="C40" s="46">
        <v>147102</v>
      </c>
      <c r="D40" s="46">
        <v>27399173.280000001</v>
      </c>
      <c r="E40" s="47">
        <v>9.7648274497809346</v>
      </c>
      <c r="F40" s="47">
        <v>1.1301332428070943</v>
      </c>
      <c r="G40" s="48">
        <v>11.573509604949013</v>
      </c>
      <c r="H40" s="49">
        <v>12407.240014963036</v>
      </c>
      <c r="I40" s="49">
        <v>152398.94962266972</v>
      </c>
      <c r="J40" s="49">
        <v>26446856.738932651</v>
      </c>
      <c r="K40" s="47">
        <v>9.7648274497809346</v>
      </c>
      <c r="L40" s="47">
        <v>1.0908530583381386</v>
      </c>
      <c r="M40" s="47">
        <v>11.171247663599125</v>
      </c>
      <c r="N40" s="3">
        <v>-3.4757126842308472</v>
      </c>
      <c r="P40" s="50">
        <v>45930</v>
      </c>
      <c r="Q40" s="49">
        <v>3424.6</v>
      </c>
      <c r="R40" s="49">
        <v>27399173.280000001</v>
      </c>
      <c r="S40" s="49">
        <v>1804065.68</v>
      </c>
      <c r="T40" s="49">
        <v>2367404.0299999998</v>
      </c>
      <c r="U40" s="49">
        <v>23742152.460000001</v>
      </c>
      <c r="V40" s="49">
        <v>24244197.27</v>
      </c>
      <c r="W40" s="49">
        <v>23582506912</v>
      </c>
      <c r="X40" s="49">
        <v>22762846728</v>
      </c>
      <c r="Y40" s="49">
        <v>432651.31</v>
      </c>
      <c r="Z40" s="49">
        <v>455776.09</v>
      </c>
      <c r="AA40" s="49">
        <v>7580.2120000000004</v>
      </c>
      <c r="AB40" s="49">
        <v>11976</v>
      </c>
      <c r="AC40" s="49">
        <v>102209.105</v>
      </c>
      <c r="AD40" s="49">
        <v>147102</v>
      </c>
      <c r="AE40" s="51">
        <v>10.38</v>
      </c>
      <c r="AF40" s="51">
        <v>498495.37</v>
      </c>
      <c r="AG40" s="51">
        <v>2478522.36</v>
      </c>
      <c r="AH40" s="51">
        <v>24787925.100000001</v>
      </c>
      <c r="AI40" s="52">
        <v>-3.4757126842308472</v>
      </c>
      <c r="AJ40" s="46">
        <v>26446856.738932651</v>
      </c>
      <c r="AK40" s="53">
        <v>25.263830194918402</v>
      </c>
      <c r="AL40" s="46">
        <v>18040.656800000001</v>
      </c>
      <c r="AM40" s="54">
        <v>85443.614000000016</v>
      </c>
      <c r="AN40" s="46">
        <v>265850.18200000003</v>
      </c>
      <c r="AO40" s="55">
        <v>446256.75</v>
      </c>
      <c r="AP40" s="56">
        <v>24158753.655999999</v>
      </c>
      <c r="AQ40" s="56">
        <v>23978347.088</v>
      </c>
      <c r="AR40" s="56">
        <v>23797940.52</v>
      </c>
      <c r="AS40" s="57">
        <v>9.7648274497809329</v>
      </c>
      <c r="AT40" s="58">
        <v>9.7993632606624068</v>
      </c>
      <c r="AU40" s="58">
        <v>9.8730910071143754</v>
      </c>
      <c r="AV40" s="59">
        <v>9.9479365788414036</v>
      </c>
    </row>
    <row r="41" spans="1:48" x14ac:dyDescent="0.15">
      <c r="A41" s="45">
        <v>45961</v>
      </c>
      <c r="B41" s="46">
        <v>14045</v>
      </c>
      <c r="C41" s="46">
        <v>152193</v>
      </c>
      <c r="D41" s="46">
        <v>32857739.359999999</v>
      </c>
      <c r="E41" s="47">
        <v>11.119343016180173</v>
      </c>
      <c r="F41" s="47">
        <v>1.3198855104600233</v>
      </c>
      <c r="G41" s="48">
        <v>11.8701753200653</v>
      </c>
      <c r="H41" s="49">
        <v>14550.741984815952</v>
      </c>
      <c r="I41" s="49">
        <v>157673.26983945133</v>
      </c>
      <c r="J41" s="49">
        <v>31715698.745312966</v>
      </c>
      <c r="K41" s="47">
        <v>11.119343016180173</v>
      </c>
      <c r="L41" s="47">
        <v>1.2740100823556391</v>
      </c>
      <c r="M41" s="47">
        <v>11.45760213082535</v>
      </c>
      <c r="N41" s="3">
        <v>-3.4757126842308583</v>
      </c>
      <c r="P41" s="50">
        <v>45961</v>
      </c>
      <c r="Q41" s="49">
        <v>4107.5</v>
      </c>
      <c r="R41" s="49">
        <v>32857739.359999999</v>
      </c>
      <c r="S41" s="49">
        <v>1804065.68</v>
      </c>
      <c r="T41" s="49">
        <v>2768092.17</v>
      </c>
      <c r="U41" s="49">
        <v>23742152.460000001</v>
      </c>
      <c r="V41" s="49">
        <v>24894385.989999998</v>
      </c>
      <c r="W41" s="49">
        <v>23582506912</v>
      </c>
      <c r="X41" s="49">
        <v>22762846728</v>
      </c>
      <c r="Y41" s="49">
        <v>432651.31</v>
      </c>
      <c r="Z41" s="49">
        <v>455776.09</v>
      </c>
      <c r="AA41" s="49">
        <v>7580.2120000000004</v>
      </c>
      <c r="AB41" s="49">
        <v>14045</v>
      </c>
      <c r="AC41" s="49">
        <v>102209.105</v>
      </c>
      <c r="AD41" s="49">
        <v>152193</v>
      </c>
      <c r="AE41" s="51">
        <v>11.96</v>
      </c>
      <c r="AF41" s="51">
        <v>503818.33</v>
      </c>
      <c r="AG41" s="51">
        <v>2895833.07</v>
      </c>
      <c r="AH41" s="51">
        <v>25345111.890000001</v>
      </c>
      <c r="AI41" s="52">
        <v>-3.4757126842308472</v>
      </c>
      <c r="AJ41" s="46">
        <v>31715698.745312966</v>
      </c>
      <c r="AK41" s="53">
        <v>25.263830194918402</v>
      </c>
      <c r="AL41" s="46">
        <v>18040.656800000001</v>
      </c>
      <c r="AM41" s="54">
        <v>85443.614000000016</v>
      </c>
      <c r="AN41" s="46">
        <v>265850.18200000003</v>
      </c>
      <c r="AO41" s="55">
        <v>446256.75</v>
      </c>
      <c r="AP41" s="56">
        <v>24808942.375999998</v>
      </c>
      <c r="AQ41" s="56">
        <v>24628535.807999998</v>
      </c>
      <c r="AR41" s="56">
        <v>24448129.239999998</v>
      </c>
      <c r="AS41" s="57">
        <v>11.119343016180173</v>
      </c>
      <c r="AT41" s="58">
        <v>11.157638758022323</v>
      </c>
      <c r="AU41" s="58">
        <v>11.239369614091514</v>
      </c>
      <c r="AV41" s="59">
        <v>11.322306679690966</v>
      </c>
    </row>
    <row r="42" spans="1:48" x14ac:dyDescent="0.15">
      <c r="A42" s="45">
        <v>45989</v>
      </c>
      <c r="B42" s="46">
        <v>14782</v>
      </c>
      <c r="C42" s="46">
        <v>153573</v>
      </c>
      <c r="D42" s="46">
        <v>31472123.199999999</v>
      </c>
      <c r="E42" s="47">
        <v>11.641489739020145</v>
      </c>
      <c r="F42" s="47">
        <v>1.2542711732676155</v>
      </c>
      <c r="G42" s="48">
        <v>10.774146620286302</v>
      </c>
      <c r="H42" s="49">
        <v>15314.280385870374</v>
      </c>
      <c r="I42" s="49">
        <v>159102.96182514349</v>
      </c>
      <c r="J42" s="49">
        <v>30378242.62194084</v>
      </c>
      <c r="K42" s="47">
        <v>11.641489739020145</v>
      </c>
      <c r="L42" s="47">
        <v>1.210676311003702</v>
      </c>
      <c r="M42" s="47">
        <v>10.399668239587383</v>
      </c>
      <c r="N42" s="3">
        <v>-3.4757126842308361</v>
      </c>
      <c r="P42" s="50">
        <v>45989</v>
      </c>
      <c r="Q42" s="49">
        <v>3926.59</v>
      </c>
      <c r="R42" s="49">
        <v>31472123.199999999</v>
      </c>
      <c r="S42" s="49">
        <v>1804065.68</v>
      </c>
      <c r="T42" s="49">
        <v>2921078.05</v>
      </c>
      <c r="U42" s="49">
        <v>23742152.460000001</v>
      </c>
      <c r="V42" s="49">
        <v>25091960.870000001</v>
      </c>
      <c r="W42" s="49">
        <v>23582506912</v>
      </c>
      <c r="X42" s="49">
        <v>22762846728</v>
      </c>
      <c r="Y42" s="49">
        <v>432651.31</v>
      </c>
      <c r="Z42" s="49">
        <v>455776.09</v>
      </c>
      <c r="AA42" s="49">
        <v>7580.2120000000004</v>
      </c>
      <c r="AB42" s="49">
        <v>14782</v>
      </c>
      <c r="AC42" s="49">
        <v>102209.105</v>
      </c>
      <c r="AD42" s="49">
        <v>153573</v>
      </c>
      <c r="AE42" s="51">
        <v>12.4</v>
      </c>
      <c r="AF42" s="51">
        <v>513031.06</v>
      </c>
      <c r="AG42" s="51">
        <v>2994277.21</v>
      </c>
      <c r="AH42" s="51">
        <v>25345013.370000001</v>
      </c>
      <c r="AI42" s="52">
        <v>-3.4757126842308472</v>
      </c>
      <c r="AJ42" s="46">
        <v>30378242.62194084</v>
      </c>
      <c r="AK42" s="53">
        <v>25.263830194918402</v>
      </c>
      <c r="AL42" s="46">
        <v>18040.656800000001</v>
      </c>
      <c r="AM42" s="54">
        <v>85443.614000000016</v>
      </c>
      <c r="AN42" s="46">
        <v>265850.18200000003</v>
      </c>
      <c r="AO42" s="55">
        <v>446256.75</v>
      </c>
      <c r="AP42" s="56">
        <v>25006517.256000001</v>
      </c>
      <c r="AQ42" s="56">
        <v>24826110.688000001</v>
      </c>
      <c r="AR42" s="56">
        <v>24645704.120000001</v>
      </c>
      <c r="AS42" s="57">
        <v>11.641489739020145</v>
      </c>
      <c r="AT42" s="58">
        <v>11.681267007700258</v>
      </c>
      <c r="AU42" s="58">
        <v>11.766152526710268</v>
      </c>
      <c r="AV42" s="59">
        <v>11.85228076981393</v>
      </c>
    </row>
    <row r="43" spans="1:48" x14ac:dyDescent="0.15">
      <c r="A43" s="45">
        <v>46021</v>
      </c>
      <c r="B43" s="46">
        <v>15737</v>
      </c>
      <c r="C43" s="46">
        <v>157019</v>
      </c>
      <c r="D43" s="46">
        <v>33769070.609999999</v>
      </c>
      <c r="E43" s="47">
        <v>12.055878976798441</v>
      </c>
      <c r="F43" s="47">
        <v>1.314389326879875</v>
      </c>
      <c r="G43" s="48">
        <v>10.902476123138092</v>
      </c>
      <c r="H43" s="49">
        <v>16275.543939659903</v>
      </c>
      <c r="I43" s="49">
        <v>162392.42764576848</v>
      </c>
      <c r="J43" s="49">
        <v>32651680.715543244</v>
      </c>
      <c r="K43" s="47">
        <v>12.055878976798441</v>
      </c>
      <c r="L43" s="47">
        <v>1.2708972992727405</v>
      </c>
      <c r="M43" s="47">
        <v>10.541722438642463</v>
      </c>
      <c r="N43" s="3">
        <v>-3.3089151530450001</v>
      </c>
      <c r="P43" s="50">
        <v>46021</v>
      </c>
      <c r="Q43" s="49">
        <v>4214.17</v>
      </c>
      <c r="R43" s="49">
        <v>33769070.609999999</v>
      </c>
      <c r="S43" s="49">
        <v>1993805.78</v>
      </c>
      <c r="T43" s="49">
        <v>3097376.25</v>
      </c>
      <c r="U43" s="49">
        <v>24762761.760000002</v>
      </c>
      <c r="V43" s="49">
        <v>25691832.640000001</v>
      </c>
      <c r="W43" s="49">
        <v>23510321813</v>
      </c>
      <c r="X43" s="49">
        <v>22732385212</v>
      </c>
      <c r="Y43" s="49">
        <v>432651.31</v>
      </c>
      <c r="Z43" s="49">
        <v>455776.09</v>
      </c>
      <c r="AA43" s="49">
        <v>8359.7039999999997</v>
      </c>
      <c r="AB43" s="49">
        <v>15737</v>
      </c>
      <c r="AC43" s="49">
        <v>106847.492</v>
      </c>
      <c r="AD43" s="49">
        <v>157019</v>
      </c>
      <c r="AE43" s="51">
        <v>12.66</v>
      </c>
      <c r="AF43" s="51">
        <v>518742.68</v>
      </c>
      <c r="AG43" s="51">
        <v>3101714.92</v>
      </c>
      <c r="AH43" s="51">
        <v>25734374.300000001</v>
      </c>
      <c r="AI43" s="52">
        <v>-3.3089151530450001</v>
      </c>
      <c r="AJ43" s="46">
        <v>32651680.715543244</v>
      </c>
      <c r="AK43" s="53">
        <v>22.859603205684358</v>
      </c>
      <c r="AL43" s="46">
        <v>19938.057800000002</v>
      </c>
      <c r="AM43" s="54">
        <v>142365.644</v>
      </c>
      <c r="AN43" s="46">
        <v>341746.22200000001</v>
      </c>
      <c r="AO43" s="55">
        <v>541126.80000000005</v>
      </c>
      <c r="AP43" s="56">
        <v>25549466.995999999</v>
      </c>
      <c r="AQ43" s="56">
        <v>25350086.418000001</v>
      </c>
      <c r="AR43" s="56">
        <v>25150705.84</v>
      </c>
      <c r="AS43" s="57">
        <v>12.055878976798441</v>
      </c>
      <c r="AT43" s="58">
        <v>12.123056228472095</v>
      </c>
      <c r="AU43" s="58">
        <v>12.218405093091466</v>
      </c>
      <c r="AV43" s="59">
        <v>12.315265701505258</v>
      </c>
    </row>
    <row r="44" spans="1:48" x14ac:dyDescent="0.15">
      <c r="A44" s="45">
        <v>46052</v>
      </c>
      <c r="B44" s="46">
        <v>21984</v>
      </c>
      <c r="C44" s="46">
        <v>179139</v>
      </c>
      <c r="D44" s="46">
        <v>41895080.140000001</v>
      </c>
      <c r="E44" s="47">
        <v>15.622856502430057</v>
      </c>
      <c r="F44" s="47">
        <v>1.5333355810256359</v>
      </c>
      <c r="G44" s="48">
        <v>9.8146941360380104</v>
      </c>
      <c r="H44" s="49">
        <v>22736.325727234118</v>
      </c>
      <c r="I44" s="49">
        <v>185269.40749868052</v>
      </c>
      <c r="J44" s="49">
        <v>40508807.484867193</v>
      </c>
      <c r="K44" s="47">
        <v>15.622856502430057</v>
      </c>
      <c r="L44" s="47">
        <v>1.4825988076380481</v>
      </c>
      <c r="M44" s="47">
        <v>9.4899342345456308</v>
      </c>
      <c r="N44" s="3">
        <v>-3.308915153044989</v>
      </c>
      <c r="P44" s="50">
        <v>46052</v>
      </c>
      <c r="Q44" s="49">
        <v>5224.3599999999997</v>
      </c>
      <c r="R44" s="49">
        <v>41895080.140000001</v>
      </c>
      <c r="S44" s="49">
        <v>1993805.78</v>
      </c>
      <c r="T44" s="49">
        <v>4268607.82</v>
      </c>
      <c r="U44" s="49">
        <v>24762761.760000002</v>
      </c>
      <c r="V44" s="49">
        <v>27322838.300000001</v>
      </c>
      <c r="W44" s="49">
        <v>23510321813</v>
      </c>
      <c r="X44" s="49">
        <v>22732385212</v>
      </c>
      <c r="Y44" s="49">
        <v>432651.31</v>
      </c>
      <c r="Z44" s="49">
        <v>455776.09</v>
      </c>
      <c r="AA44" s="49">
        <v>8359.7039999999997</v>
      </c>
      <c r="AB44" s="49">
        <v>21984</v>
      </c>
      <c r="AC44" s="49">
        <v>106847.492</v>
      </c>
      <c r="AD44" s="49">
        <v>179139</v>
      </c>
      <c r="AE44" s="51">
        <v>16.82</v>
      </c>
      <c r="AF44" s="51">
        <v>536123.92000000004</v>
      </c>
      <c r="AG44" s="51">
        <v>4235458.6900000004</v>
      </c>
      <c r="AH44" s="51">
        <v>27033490.370000001</v>
      </c>
      <c r="AI44" s="52">
        <v>-3.3089151530450001</v>
      </c>
      <c r="AJ44" s="46">
        <v>40508807.484867193</v>
      </c>
      <c r="AK44" s="53">
        <v>22.859603205684358</v>
      </c>
      <c r="AL44" s="46">
        <v>19938.057800000002</v>
      </c>
      <c r="AM44" s="54">
        <v>142365.644</v>
      </c>
      <c r="AN44" s="46">
        <v>341746.22200000001</v>
      </c>
      <c r="AO44" s="55">
        <v>541126.80000000005</v>
      </c>
      <c r="AP44" s="56">
        <v>27180472.655999999</v>
      </c>
      <c r="AQ44" s="56">
        <v>26981092.078000002</v>
      </c>
      <c r="AR44" s="56">
        <v>26781711.5</v>
      </c>
      <c r="AS44" s="57">
        <v>15.622856502430057</v>
      </c>
      <c r="AT44" s="58">
        <v>15.704685764755158</v>
      </c>
      <c r="AU44" s="58">
        <v>15.820737750939898</v>
      </c>
      <c r="AV44" s="59">
        <v>15.938517670911361</v>
      </c>
    </row>
    <row r="45" spans="1:48" x14ac:dyDescent="0.15">
      <c r="A45" s="45">
        <v>46080</v>
      </c>
      <c r="B45" s="46">
        <v>24676</v>
      </c>
      <c r="C45" s="46">
        <v>181410</v>
      </c>
      <c r="D45" s="46">
        <v>49887560.140000001</v>
      </c>
      <c r="E45" s="47">
        <v>16.658077463014141</v>
      </c>
      <c r="F45" s="47">
        <v>1.7726695625158346</v>
      </c>
      <c r="G45" s="48">
        <v>10.641501496506336</v>
      </c>
      <c r="H45" s="49">
        <v>25520.450038447467</v>
      </c>
      <c r="I45" s="49">
        <v>187618.12455319965</v>
      </c>
      <c r="J45" s="49">
        <v>48236823.103043102</v>
      </c>
      <c r="K45" s="47">
        <v>16.658077463014141</v>
      </c>
      <c r="L45" s="47">
        <v>1.7140134307483317</v>
      </c>
      <c r="M45" s="47">
        <v>10.289383240976926</v>
      </c>
      <c r="N45" s="3">
        <v>-3.3089151530450112</v>
      </c>
      <c r="P45" s="50">
        <v>46080</v>
      </c>
      <c r="Q45" s="49">
        <v>6244.13</v>
      </c>
      <c r="R45" s="49">
        <v>49887560.140000001</v>
      </c>
      <c r="S45" s="49">
        <v>1993805.78</v>
      </c>
      <c r="T45" s="49">
        <v>4688018.9000000004</v>
      </c>
      <c r="U45" s="49">
        <v>24762761.760000002</v>
      </c>
      <c r="V45" s="49">
        <v>28142616.760000002</v>
      </c>
      <c r="W45" s="49">
        <v>23510321813</v>
      </c>
      <c r="X45" s="49">
        <v>22732385212</v>
      </c>
      <c r="Y45" s="49">
        <v>432651.31</v>
      </c>
      <c r="Z45" s="49">
        <v>455776.09</v>
      </c>
      <c r="AA45" s="49">
        <v>8359.7039999999997</v>
      </c>
      <c r="AB45" s="49">
        <v>24676</v>
      </c>
      <c r="AC45" s="49">
        <v>106847.492</v>
      </c>
      <c r="AD45" s="49">
        <v>181410</v>
      </c>
      <c r="AE45" s="51">
        <v>18.16</v>
      </c>
      <c r="AF45" s="51">
        <v>551135</v>
      </c>
      <c r="AG45" s="51">
        <v>4591362.76</v>
      </c>
      <c r="AH45" s="51">
        <v>27442219.829999998</v>
      </c>
      <c r="AI45" s="52">
        <v>-3.3089151530450001</v>
      </c>
      <c r="AJ45" s="46">
        <v>48236823.103043102</v>
      </c>
      <c r="AK45" s="53">
        <v>22.859603205684358</v>
      </c>
      <c r="AL45" s="46">
        <v>19938.057800000002</v>
      </c>
      <c r="AM45" s="54">
        <v>142365.644</v>
      </c>
      <c r="AN45" s="46">
        <v>341746.22200000001</v>
      </c>
      <c r="AO45" s="55">
        <v>541126.80000000005</v>
      </c>
      <c r="AP45" s="56">
        <v>28000251.116</v>
      </c>
      <c r="AQ45" s="56">
        <v>27800870.538000003</v>
      </c>
      <c r="AR45" s="56">
        <v>27601489.960000001</v>
      </c>
      <c r="AS45" s="57">
        <v>16.658077463014141</v>
      </c>
      <c r="AT45" s="58">
        <v>16.742774486480076</v>
      </c>
      <c r="AU45" s="58">
        <v>16.862849289528963</v>
      </c>
      <c r="AV45" s="59">
        <v>16.984658823831118</v>
      </c>
    </row>
    <row r="46" spans="1:48" x14ac:dyDescent="0.15">
      <c r="A46" s="45">
        <v>46100</v>
      </c>
      <c r="B46" s="60">
        <v>25726</v>
      </c>
      <c r="C46" s="60">
        <v>179997</v>
      </c>
      <c r="D46" s="46">
        <v>46053201.840000004</v>
      </c>
      <c r="E46" s="61">
        <v>17.420083293449892</v>
      </c>
      <c r="F46" s="47">
        <v>1.6056648267863842</v>
      </c>
      <c r="G46" s="48">
        <v>9.2173200307838297</v>
      </c>
      <c r="H46" s="62">
        <v>26606.382626402152</v>
      </c>
      <c r="I46" s="62">
        <v>186156.76955626637</v>
      </c>
      <c r="J46" s="49">
        <v>44529340.465853848</v>
      </c>
      <c r="K46" s="61">
        <v>17.420083293449892</v>
      </c>
      <c r="L46" s="47">
        <v>1.5525347400257359</v>
      </c>
      <c r="M46" s="47">
        <v>8.9123267315805705</v>
      </c>
      <c r="N46" s="3">
        <v>-3.3089151530450112</v>
      </c>
      <c r="P46" s="50">
        <v>46100</v>
      </c>
      <c r="Q46" s="49">
        <v>5763.22</v>
      </c>
      <c r="R46" s="49">
        <v>46053201.840000004</v>
      </c>
      <c r="S46" s="49">
        <v>1993805.78</v>
      </c>
      <c r="T46" s="49">
        <v>4996376.57</v>
      </c>
      <c r="U46" s="49">
        <v>24762761.760000002</v>
      </c>
      <c r="V46" s="49">
        <v>28681703.100000001</v>
      </c>
      <c r="W46" s="49">
        <v>23510321813</v>
      </c>
      <c r="X46" s="49">
        <v>22732385212</v>
      </c>
      <c r="Y46" s="49">
        <v>432651.31</v>
      </c>
      <c r="Z46" s="49">
        <v>455776.09</v>
      </c>
      <c r="AA46" s="49">
        <v>8359.7039999999997</v>
      </c>
      <c r="AB46" s="49">
        <v>25726</v>
      </c>
      <c r="AC46" s="49">
        <v>106847.492</v>
      </c>
      <c r="AD46" s="49">
        <v>179997</v>
      </c>
      <c r="AE46" s="51">
        <v>19.14</v>
      </c>
      <c r="AF46" s="63">
        <v>584883.86</v>
      </c>
      <c r="AG46" s="63">
        <v>4826670.8899999997</v>
      </c>
      <c r="AH46" s="63">
        <v>27515598.09</v>
      </c>
      <c r="AI46" s="52">
        <v>-3.3089151530450001</v>
      </c>
      <c r="AJ46" s="46">
        <v>44529340.465853848</v>
      </c>
      <c r="AK46" s="53">
        <v>22.859603205684358</v>
      </c>
      <c r="AL46" s="46">
        <v>19938.057800000002</v>
      </c>
      <c r="AM46" s="54">
        <v>142365.644</v>
      </c>
      <c r="AN46" s="46">
        <v>341746.22200000001</v>
      </c>
      <c r="AO46" s="55">
        <v>541126.80000000005</v>
      </c>
      <c r="AP46" s="56">
        <v>28539337.456</v>
      </c>
      <c r="AQ46" s="56">
        <v>28339956.878000002</v>
      </c>
      <c r="AR46" s="56">
        <v>28140576.300000001</v>
      </c>
      <c r="AS46" s="57">
        <v>17.420083293449892</v>
      </c>
      <c r="AT46" s="58">
        <v>17.506981644907039</v>
      </c>
      <c r="AU46" s="58">
        <v>17.630148809007654</v>
      </c>
      <c r="AV46" s="59">
        <v>17.755061292046108</v>
      </c>
    </row>
    <row r="47" spans="1:48" x14ac:dyDescent="0.15">
      <c r="A47" s="64"/>
      <c r="B47" s="22"/>
      <c r="C47" s="22"/>
      <c r="D47" s="22"/>
      <c r="E47" s="28"/>
      <c r="F47" s="28"/>
      <c r="G47" s="28"/>
      <c r="H47" s="28"/>
      <c r="I47" s="28"/>
      <c r="J47" s="28"/>
      <c r="K47" s="28"/>
      <c r="L47" s="28"/>
      <c r="M47" s="28"/>
      <c r="N47" s="28"/>
      <c r="P47" s="2"/>
      <c r="AG47" s="2">
        <v>12.117748927356429</v>
      </c>
      <c r="AI47" s="28"/>
      <c r="AJ47" s="28"/>
      <c r="AK47" s="2">
        <v>12.117748927356429</v>
      </c>
      <c r="AL47" s="60">
        <v>4826670.8899999997</v>
      </c>
      <c r="AM47" s="65">
        <v>584883.85999999987</v>
      </c>
      <c r="AN47" s="46">
        <v>27515598.09</v>
      </c>
      <c r="AO47" s="66"/>
      <c r="AP47" s="8"/>
      <c r="AQ47" s="8"/>
      <c r="AR47" s="8"/>
      <c r="AS47" s="67">
        <v>17.541580867014329</v>
      </c>
    </row>
    <row r="48" spans="1:48" x14ac:dyDescent="0.15">
      <c r="A48" s="64"/>
      <c r="B48" s="22"/>
      <c r="C48" s="22"/>
      <c r="D48" s="1"/>
      <c r="E48" s="28"/>
      <c r="F48" s="28"/>
      <c r="G48" s="28"/>
      <c r="H48" s="28"/>
      <c r="I48" s="28"/>
      <c r="J48" s="28"/>
      <c r="K48" s="28"/>
      <c r="L48" s="28"/>
      <c r="M48" s="28"/>
      <c r="N48" s="28"/>
      <c r="P48" s="2"/>
      <c r="AI48" s="28"/>
      <c r="AJ48" s="28"/>
      <c r="AK48" s="32">
        <v>30</v>
      </c>
      <c r="AL48" s="60">
        <v>4826670.8899999997</v>
      </c>
      <c r="AM48" s="65">
        <v>1448001.267</v>
      </c>
      <c r="AN48" s="46">
        <v>26652480.682999998</v>
      </c>
      <c r="AO48" s="66"/>
      <c r="AP48" s="8"/>
      <c r="AQ48" s="8"/>
      <c r="AR48" s="8"/>
      <c r="AS48" s="67">
        <v>18.109649707310886</v>
      </c>
      <c r="AT48" s="8"/>
      <c r="AU48" s="8"/>
      <c r="AV48" s="68"/>
    </row>
    <row r="49" spans="1:48" x14ac:dyDescent="0.15">
      <c r="A49" s="22"/>
      <c r="B49" s="22"/>
      <c r="C49" s="22"/>
      <c r="D49" s="22"/>
      <c r="E49" s="28"/>
      <c r="F49" s="28"/>
      <c r="G49" s="28"/>
      <c r="H49" s="28"/>
      <c r="I49" s="28"/>
      <c r="J49" s="28"/>
      <c r="K49" s="28"/>
      <c r="L49" s="28"/>
      <c r="M49" s="28"/>
      <c r="N49" s="28"/>
      <c r="P49" s="2"/>
      <c r="AI49" s="28"/>
      <c r="AJ49" s="28"/>
      <c r="AK49" s="32">
        <v>40</v>
      </c>
      <c r="AL49" s="60">
        <v>4826670.8899999997</v>
      </c>
      <c r="AM49" s="65">
        <v>1930668.3559999999</v>
      </c>
      <c r="AN49" s="46">
        <v>26169813.594000001</v>
      </c>
      <c r="AO49" s="66"/>
      <c r="AP49" s="8"/>
      <c r="AQ49" s="8"/>
      <c r="AR49" s="8"/>
      <c r="AS49" s="67">
        <v>18.443657891039084</v>
      </c>
      <c r="AT49" s="8"/>
      <c r="AU49" s="8"/>
      <c r="AV49" s="68"/>
    </row>
    <row r="50" spans="1:48" x14ac:dyDescent="0.15">
      <c r="A50" s="22"/>
      <c r="B50" s="22"/>
      <c r="C50" s="22"/>
      <c r="E50" s="28"/>
      <c r="F50" s="28"/>
      <c r="G50" s="28"/>
      <c r="H50" s="28"/>
      <c r="I50" s="28"/>
      <c r="J50" s="28"/>
      <c r="K50" s="28"/>
      <c r="L50" s="28"/>
      <c r="M50" s="28"/>
      <c r="N50" s="28"/>
      <c r="P50" s="2"/>
      <c r="AK50" s="2">
        <v>50</v>
      </c>
      <c r="AL50" s="60">
        <v>4826670.8899999997</v>
      </c>
      <c r="AM50" s="65">
        <v>2413335.4449999998</v>
      </c>
      <c r="AN50" s="46">
        <v>25687146.504999999</v>
      </c>
      <c r="AS50" s="67">
        <v>18.790218248105095</v>
      </c>
    </row>
    <row r="51" spans="1:48" x14ac:dyDescent="0.15">
      <c r="A51" s="22"/>
      <c r="B51" s="22"/>
      <c r="C51" s="22"/>
      <c r="D51" s="22"/>
      <c r="E51" s="28"/>
      <c r="F51" s="28"/>
    </row>
    <row r="52" spans="1:48" x14ac:dyDescent="0.15">
      <c r="A52" s="22"/>
      <c r="B52" s="22"/>
      <c r="C52" s="22"/>
      <c r="D52" s="22"/>
      <c r="E52" s="28"/>
      <c r="F52" s="28"/>
    </row>
    <row r="53" spans="1:48" x14ac:dyDescent="0.15">
      <c r="A53" s="22"/>
      <c r="B53" s="22"/>
      <c r="C53" s="22"/>
      <c r="D53" s="22"/>
      <c r="E53" s="28"/>
      <c r="F53" s="28"/>
    </row>
    <row r="54" spans="1:48" x14ac:dyDescent="0.15">
      <c r="A54" s="22"/>
      <c r="B54" s="22"/>
      <c r="C54" s="22"/>
      <c r="D54" s="22"/>
      <c r="E54" s="28"/>
      <c r="F54" s="28"/>
    </row>
    <row r="55" spans="1:48" x14ac:dyDescent="0.15">
      <c r="A55" s="22"/>
      <c r="B55" s="22"/>
      <c r="C55" s="22"/>
      <c r="D55" s="22"/>
      <c r="E55" s="28"/>
      <c r="F55" s="28"/>
    </row>
    <row r="56" spans="1:48" x14ac:dyDescent="0.15">
      <c r="A56" s="22"/>
      <c r="B56" s="22"/>
      <c r="C56" s="22"/>
      <c r="D56" s="22"/>
      <c r="E56" s="28"/>
      <c r="F56" s="28"/>
    </row>
    <row r="64" spans="1:48" ht="15" customHeight="1" x14ac:dyDescent="0.15">
      <c r="W64" s="69" t="s">
        <v>18</v>
      </c>
      <c r="X64" s="2" t="s">
        <v>105</v>
      </c>
    </row>
    <row r="66" spans="23:27" x14ac:dyDescent="0.15">
      <c r="W66" s="70" t="s">
        <v>106</v>
      </c>
    </row>
    <row r="67" spans="23:27" x14ac:dyDescent="0.15">
      <c r="W67" s="71" t="s">
        <v>107</v>
      </c>
      <c r="X67" s="71" t="s">
        <v>108</v>
      </c>
      <c r="Y67" s="71" t="s">
        <v>32</v>
      </c>
    </row>
    <row r="68" spans="23:27" x14ac:dyDescent="0.15">
      <c r="W68" s="72"/>
      <c r="X68" s="72"/>
      <c r="Y68" s="72"/>
    </row>
    <row r="69" spans="23:27" x14ac:dyDescent="0.15">
      <c r="W69" s="72"/>
      <c r="X69" s="72"/>
      <c r="Y69" s="72"/>
    </row>
    <row r="70" spans="23:27" x14ac:dyDescent="0.15">
      <c r="W70" s="73"/>
      <c r="X70" s="73"/>
      <c r="Y70" s="73"/>
    </row>
    <row r="72" spans="23:27" x14ac:dyDescent="0.15">
      <c r="W72" s="71"/>
      <c r="X72" s="71" t="s">
        <v>109</v>
      </c>
      <c r="Y72" s="71" t="s">
        <v>110</v>
      </c>
      <c r="Z72" s="71" t="s">
        <v>111</v>
      </c>
    </row>
    <row r="73" spans="23:27" x14ac:dyDescent="0.15">
      <c r="W73" s="74"/>
      <c r="X73" s="74" t="s">
        <v>112</v>
      </c>
      <c r="Y73" s="74"/>
      <c r="Z73" s="74">
        <v>202509</v>
      </c>
    </row>
    <row r="74" spans="23:27" x14ac:dyDescent="0.15">
      <c r="W74" s="74"/>
      <c r="X74" s="74" t="s">
        <v>58</v>
      </c>
      <c r="Y74" s="74" t="s">
        <v>113</v>
      </c>
      <c r="Z74" s="74" t="s">
        <v>14</v>
      </c>
    </row>
    <row r="75" spans="23:27" x14ac:dyDescent="0.15">
      <c r="W75" s="28"/>
      <c r="X75" s="28" t="s">
        <v>64</v>
      </c>
      <c r="Y75" s="74"/>
      <c r="Z75" s="74"/>
    </row>
    <row r="76" spans="23:27" x14ac:dyDescent="0.15">
      <c r="W76" s="16" t="s">
        <v>35</v>
      </c>
      <c r="X76" s="16" t="s">
        <v>37</v>
      </c>
      <c r="Y76" s="16" t="s">
        <v>114</v>
      </c>
      <c r="Z76" s="16" t="s">
        <v>115</v>
      </c>
    </row>
    <row r="77" spans="23:27" x14ac:dyDescent="0.15">
      <c r="W77" s="2" t="s">
        <v>116</v>
      </c>
      <c r="X77" s="72" t="s">
        <v>38</v>
      </c>
      <c r="Z77" s="75">
        <v>-465185.32</v>
      </c>
      <c r="AA77" s="2">
        <v>-4.6518531999999997</v>
      </c>
    </row>
  </sheetData>
  <mergeCells count="10">
    <mergeCell ref="I5:I8"/>
    <mergeCell ref="B27:N28"/>
    <mergeCell ref="AI27:AJ28"/>
    <mergeCell ref="AK27:AV28"/>
    <mergeCell ref="B29:G29"/>
    <mergeCell ref="H29:N29"/>
    <mergeCell ref="AM29:AO29"/>
    <mergeCell ref="AP29:AR29"/>
    <mergeCell ref="AS29:AV29"/>
    <mergeCell ref="M5:M8"/>
  </mergeCells>
  <phoneticPr fontId="5" type="noConversion"/>
  <hyperlinks>
    <hyperlink ref="P17" tooltip="Quantiwise7G" display="     Refresh     " xr:uid="{50A82A22-7C1F-4119-986A-FFC010325582}"/>
    <hyperlink ref="W64" tooltip="Quantiwise7G" display="     Refresh     " xr:uid="{F201E0DE-14CA-4A6D-BC59-AE793B99A9E3}"/>
  </hyperlinks>
  <pageMargins left="0.7" right="0.7" top="0.75" bottom="0.75" header="0.3" footer="0.3"/>
  <pageSetup paperSize="9" orientation="portrait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B14F-D33E-4E94-9493-80AC993BC016}">
  <dimension ref="A1:AW278"/>
  <sheetViews>
    <sheetView showGridLines="0" topLeftCell="A16" zoomScale="55" zoomScaleNormal="55" workbookViewId="0">
      <selection activeCell="I61" sqref="I61"/>
    </sheetView>
  </sheetViews>
  <sheetFormatPr defaultRowHeight="16.5" x14ac:dyDescent="0.15"/>
  <cols>
    <col min="1" max="1" width="12" style="77" customWidth="1"/>
    <col min="2" max="2" width="14.83203125" style="77" bestFit="1" customWidth="1"/>
    <col min="3" max="3" width="24" style="77" customWidth="1"/>
    <col min="4" max="4" width="24.83203125" style="77" customWidth="1"/>
    <col min="5" max="6" width="22" style="77" customWidth="1"/>
    <col min="7" max="8" width="24.83203125" style="77" customWidth="1"/>
    <col min="9" max="9" width="24.83203125" style="77" bestFit="1" customWidth="1"/>
    <col min="10" max="10" width="9.33203125" style="77"/>
    <col min="11" max="11" width="12" style="77" customWidth="1"/>
    <col min="12" max="12" width="30.5" style="77" customWidth="1"/>
    <col min="13" max="13" width="9.33203125" style="77"/>
    <col min="14" max="14" width="13.83203125" style="77" bestFit="1" customWidth="1"/>
    <col min="15" max="15" width="13.1640625" style="77" bestFit="1" customWidth="1"/>
    <col min="16" max="16" width="27.83203125" style="77" customWidth="1"/>
    <col min="17" max="20" width="9.33203125" style="77"/>
    <col min="21" max="21" width="14.5" style="77" bestFit="1" customWidth="1"/>
    <col min="22" max="24" width="9.33203125" style="77"/>
    <col min="25" max="26" width="19.5" style="77" customWidth="1"/>
    <col min="27" max="27" width="9.33203125" style="77"/>
    <col min="28" max="28" width="12.1640625" style="77" bestFit="1" customWidth="1"/>
    <col min="29" max="29" width="9.33203125" style="77"/>
    <col min="30" max="33" width="19.5" style="77" customWidth="1"/>
    <col min="34" max="46" width="12.33203125" style="77" bestFit="1" customWidth="1"/>
    <col min="47" max="47" width="13.33203125" style="77" bestFit="1" customWidth="1"/>
    <col min="48" max="48" width="13.83203125" style="77" bestFit="1" customWidth="1"/>
    <col min="49" max="49" width="14.5" style="77" bestFit="1" customWidth="1"/>
    <col min="50" max="16384" width="9.33203125" style="77"/>
  </cols>
  <sheetData>
    <row r="1" spans="1:49" x14ac:dyDescent="0.15">
      <c r="A1" s="76" t="s">
        <v>117</v>
      </c>
      <c r="K1" s="77" t="s">
        <v>118</v>
      </c>
    </row>
    <row r="2" spans="1:49" ht="15" customHeight="1" x14ac:dyDescent="0.15">
      <c r="D2" s="78"/>
      <c r="K2" s="77" t="s">
        <v>119</v>
      </c>
      <c r="Y2" s="79" t="s">
        <v>18</v>
      </c>
      <c r="Z2" s="77" t="s">
        <v>120</v>
      </c>
      <c r="AD2" s="79" t="s">
        <v>18</v>
      </c>
      <c r="AE2" s="77" t="s">
        <v>121</v>
      </c>
    </row>
    <row r="3" spans="1:49" x14ac:dyDescent="0.15">
      <c r="B3" s="80"/>
      <c r="C3" s="81" t="s">
        <v>122</v>
      </c>
      <c r="D3" s="81" t="s">
        <v>122</v>
      </c>
      <c r="E3" s="81" t="s">
        <v>122</v>
      </c>
      <c r="F3" s="81"/>
      <c r="G3" s="81"/>
      <c r="H3" s="81"/>
      <c r="K3" s="77" t="s">
        <v>123</v>
      </c>
      <c r="N3" s="82"/>
      <c r="O3" s="82" t="s">
        <v>124</v>
      </c>
      <c r="P3" s="82"/>
      <c r="Q3" s="82"/>
      <c r="R3" s="82"/>
      <c r="Y3" s="83">
        <v>0</v>
      </c>
    </row>
    <row r="4" spans="1:49" x14ac:dyDescent="0.15">
      <c r="B4" s="84"/>
      <c r="C4" s="85" t="s">
        <v>125</v>
      </c>
      <c r="D4" s="85" t="s">
        <v>126</v>
      </c>
      <c r="E4" s="85" t="s">
        <v>127</v>
      </c>
      <c r="F4" s="85" t="s">
        <v>128</v>
      </c>
      <c r="G4" s="86"/>
      <c r="H4" s="85" t="s">
        <v>129</v>
      </c>
      <c r="I4" s="85" t="s">
        <v>130</v>
      </c>
      <c r="J4" s="86" t="s">
        <v>131</v>
      </c>
      <c r="K4" s="86" t="s">
        <v>132</v>
      </c>
      <c r="L4" s="85" t="s">
        <v>133</v>
      </c>
      <c r="M4" s="85" t="s">
        <v>134</v>
      </c>
      <c r="O4" s="82" t="s">
        <v>135</v>
      </c>
      <c r="P4" s="87"/>
      <c r="Q4" s="87" t="s">
        <v>136</v>
      </c>
      <c r="R4" s="87" t="s">
        <v>137</v>
      </c>
      <c r="S4" s="87"/>
      <c r="Y4" s="88" t="s">
        <v>24</v>
      </c>
      <c r="AD4" s="88" t="s">
        <v>138</v>
      </c>
    </row>
    <row r="5" spans="1:49" x14ac:dyDescent="0.15">
      <c r="A5" s="77">
        <v>2010</v>
      </c>
      <c r="B5" s="89">
        <v>40543</v>
      </c>
      <c r="C5" s="90">
        <v>14.36408</v>
      </c>
      <c r="D5" s="91">
        <v>2.0154770827549999</v>
      </c>
      <c r="E5" s="92">
        <v>1116.43425</v>
      </c>
      <c r="F5" s="92">
        <v>78.770250000000004</v>
      </c>
      <c r="H5" s="90">
        <v>0.1805280591091683</v>
      </c>
      <c r="I5" s="90">
        <v>2.5586780323218474</v>
      </c>
      <c r="J5" s="90">
        <v>1.4671313678127484</v>
      </c>
      <c r="K5" s="90">
        <v>20.794090513556828</v>
      </c>
      <c r="L5" s="90">
        <v>2.0154770827549999</v>
      </c>
      <c r="M5" s="77">
        <v>0</v>
      </c>
      <c r="O5" s="82"/>
      <c r="P5" s="87"/>
      <c r="Q5" s="93">
        <v>2.0154770827549999</v>
      </c>
      <c r="R5" s="93">
        <v>0.24286184288499998</v>
      </c>
      <c r="S5" s="87"/>
      <c r="Y5" s="94" t="s">
        <v>27</v>
      </c>
      <c r="Z5" s="94" t="s">
        <v>139</v>
      </c>
      <c r="AA5" s="94" t="s">
        <v>29</v>
      </c>
      <c r="AB5" s="94">
        <v>1</v>
      </c>
      <c r="AD5" s="94" t="s">
        <v>107</v>
      </c>
      <c r="AE5" s="94" t="s">
        <v>108</v>
      </c>
      <c r="AF5" s="94" t="s">
        <v>32</v>
      </c>
    </row>
    <row r="6" spans="1:49" x14ac:dyDescent="0.15">
      <c r="A6" s="77">
        <v>2011</v>
      </c>
      <c r="B6" s="89">
        <v>40908</v>
      </c>
      <c r="C6" s="90">
        <v>14.016770000000001</v>
      </c>
      <c r="D6" s="91">
        <v>2.068547784603</v>
      </c>
      <c r="E6" s="92">
        <v>1017.5554100000001</v>
      </c>
      <c r="F6" s="92">
        <v>85.934330000000003</v>
      </c>
      <c r="H6" s="90">
        <v>0.20328600922115878</v>
      </c>
      <c r="I6" s="90">
        <v>2.4071262144046508</v>
      </c>
      <c r="J6" s="90">
        <v>1.580780528168289</v>
      </c>
      <c r="K6" s="90">
        <v>18.718151156357418</v>
      </c>
      <c r="L6" s="90">
        <v>2.068547784603</v>
      </c>
      <c r="M6" s="91">
        <v>0</v>
      </c>
      <c r="O6" s="82"/>
      <c r="P6" s="87"/>
      <c r="Q6" s="93">
        <v>2.068547784603</v>
      </c>
      <c r="R6" s="93">
        <v>0.52617009838900008</v>
      </c>
      <c r="S6" s="87"/>
      <c r="Y6" s="95" t="s">
        <v>31</v>
      </c>
      <c r="Z6" s="96">
        <v>40210</v>
      </c>
      <c r="AA6" s="95" t="s">
        <v>32</v>
      </c>
      <c r="AB6" s="95">
        <v>0</v>
      </c>
      <c r="AD6" s="95"/>
      <c r="AE6" s="95"/>
      <c r="AF6" s="95"/>
    </row>
    <row r="7" spans="1:49" x14ac:dyDescent="0.15">
      <c r="A7" s="77">
        <v>2012</v>
      </c>
      <c r="B7" s="89">
        <v>41274</v>
      </c>
      <c r="C7" s="90">
        <v>12.202299999999999</v>
      </c>
      <c r="D7" s="91">
        <v>1.5952071805150001</v>
      </c>
      <c r="E7" s="92">
        <v>1124.35833</v>
      </c>
      <c r="F7" s="92">
        <v>81.824490000000011</v>
      </c>
      <c r="H7" s="90">
        <v>0.14187711674755857</v>
      </c>
      <c r="I7" s="90">
        <v>1.9495473549728204</v>
      </c>
      <c r="J7" s="90">
        <v>1.2271450135042801</v>
      </c>
      <c r="K7" s="90">
        <v>16.862319802439341</v>
      </c>
      <c r="L7" s="90">
        <v>1.5952071805150001</v>
      </c>
      <c r="M7" s="91">
        <v>0</v>
      </c>
      <c r="O7" s="82"/>
      <c r="P7" s="87"/>
      <c r="Q7" s="93">
        <v>1.5952071805150001</v>
      </c>
      <c r="R7" s="93">
        <v>0.172660555573</v>
      </c>
      <c r="S7" s="87"/>
      <c r="Y7" s="97" t="s">
        <v>34</v>
      </c>
      <c r="Z7" s="97" t="s">
        <v>140</v>
      </c>
      <c r="AA7" s="97"/>
      <c r="AB7" s="97">
        <v>0</v>
      </c>
      <c r="AD7" s="95"/>
      <c r="AE7" s="95"/>
      <c r="AF7" s="95"/>
    </row>
    <row r="8" spans="1:49" x14ac:dyDescent="0.15">
      <c r="A8" s="77">
        <v>2013</v>
      </c>
      <c r="B8" s="89">
        <v>41639</v>
      </c>
      <c r="C8" s="90">
        <v>11.73812</v>
      </c>
      <c r="D8" s="91">
        <v>1.445950572606</v>
      </c>
      <c r="E8" s="92">
        <v>1147.5746399999998</v>
      </c>
      <c r="F8" s="92">
        <v>66.637059999999991</v>
      </c>
      <c r="H8" s="90">
        <v>0.12600056869555781</v>
      </c>
      <c r="I8" s="90">
        <v>2.1698895068389876</v>
      </c>
      <c r="J8" s="90">
        <v>1.1488638832769955</v>
      </c>
      <c r="K8" s="90">
        <v>19.784892329592573</v>
      </c>
      <c r="L8" s="90">
        <v>1.445950572606</v>
      </c>
      <c r="M8" s="91">
        <v>0</v>
      </c>
      <c r="O8" s="82"/>
      <c r="P8" s="87"/>
      <c r="Q8" s="93">
        <v>1.445950572606</v>
      </c>
      <c r="R8" s="93">
        <v>0.18510041614</v>
      </c>
      <c r="S8" s="87"/>
      <c r="AD8" s="97"/>
      <c r="AE8" s="97"/>
      <c r="AF8" s="97"/>
    </row>
    <row r="9" spans="1:49" x14ac:dyDescent="0.15">
      <c r="A9" s="77">
        <v>2014</v>
      </c>
      <c r="B9" s="89">
        <v>42004</v>
      </c>
      <c r="C9" s="90">
        <v>14.581760000000001</v>
      </c>
      <c r="D9" s="91">
        <v>3.2276331543780001</v>
      </c>
      <c r="E9" s="92">
        <v>1151.6865500000001</v>
      </c>
      <c r="F9" s="92">
        <v>75.258589999999998</v>
      </c>
      <c r="H9" s="90">
        <v>0.28025274362872432</v>
      </c>
      <c r="I9" s="90">
        <v>4.288723924243067</v>
      </c>
      <c r="J9" s="90">
        <v>1.5463750231673712</v>
      </c>
      <c r="K9" s="90">
        <v>23.664266304189329</v>
      </c>
      <c r="L9" s="90">
        <v>1.9822635733780003</v>
      </c>
      <c r="M9" s="91">
        <v>1.2453695809999998</v>
      </c>
      <c r="O9" s="82"/>
      <c r="P9" s="87"/>
      <c r="Q9" s="93">
        <v>3.2276331543780001</v>
      </c>
      <c r="R9" s="93">
        <v>0.212216005864</v>
      </c>
      <c r="S9" s="87"/>
      <c r="Y9" s="98" t="s">
        <v>141</v>
      </c>
      <c r="Z9" s="99" t="s">
        <v>142</v>
      </c>
      <c r="AA9" s="100"/>
      <c r="AG9" s="77">
        <v>2010</v>
      </c>
      <c r="AH9" s="77">
        <v>2011</v>
      </c>
      <c r="AI9" s="77">
        <v>2012</v>
      </c>
      <c r="AJ9" s="77">
        <v>2013</v>
      </c>
      <c r="AK9" s="77">
        <v>2014</v>
      </c>
      <c r="AL9" s="77">
        <v>2015</v>
      </c>
      <c r="AM9" s="77">
        <v>2016</v>
      </c>
      <c r="AN9" s="77">
        <v>2017</v>
      </c>
      <c r="AO9" s="77">
        <v>2018</v>
      </c>
      <c r="AP9" s="77">
        <v>2019</v>
      </c>
      <c r="AQ9" s="77">
        <v>2020</v>
      </c>
      <c r="AR9" s="77">
        <v>2021</v>
      </c>
      <c r="AS9" s="77">
        <v>2022</v>
      </c>
      <c r="AT9" s="77">
        <v>2023</v>
      </c>
      <c r="AU9" s="77">
        <v>2024</v>
      </c>
      <c r="AV9" s="77">
        <v>2025</v>
      </c>
      <c r="AW9" s="77">
        <v>2026</v>
      </c>
    </row>
    <row r="10" spans="1:49" x14ac:dyDescent="0.15">
      <c r="A10" s="77">
        <v>2015</v>
      </c>
      <c r="B10" s="89">
        <v>42369</v>
      </c>
      <c r="C10" s="90">
        <v>19.192790000000002</v>
      </c>
      <c r="D10" s="91">
        <v>10.675211055713</v>
      </c>
      <c r="E10" s="92">
        <v>1199.5213000000001</v>
      </c>
      <c r="F10" s="92">
        <v>89.349310000000003</v>
      </c>
      <c r="H10" s="90">
        <v>0.88995593956630847</v>
      </c>
      <c r="I10" s="90">
        <v>11.947726351454756</v>
      </c>
      <c r="J10" s="90">
        <v>2.4899933878383815</v>
      </c>
      <c r="K10" s="90">
        <v>33.428351103901086</v>
      </c>
      <c r="L10" s="90">
        <v>7.1096727985409993</v>
      </c>
      <c r="M10" s="91">
        <v>3.5655382571720002</v>
      </c>
      <c r="O10" s="87" t="s">
        <v>135</v>
      </c>
      <c r="P10" s="87" t="s">
        <v>135</v>
      </c>
      <c r="Q10" s="93">
        <v>10.675211055713</v>
      </c>
      <c r="R10" s="93">
        <v>1.2779229392</v>
      </c>
      <c r="S10" s="101" t="s">
        <v>143</v>
      </c>
      <c r="T10" s="102"/>
      <c r="U10" s="101" t="s">
        <v>144</v>
      </c>
      <c r="V10" s="101" t="s">
        <v>134</v>
      </c>
      <c r="W10" s="101" t="s">
        <v>145</v>
      </c>
      <c r="Y10" s="103" t="s">
        <v>146</v>
      </c>
      <c r="Z10" s="104" t="s">
        <v>147</v>
      </c>
      <c r="AA10" s="105"/>
      <c r="AD10" s="94"/>
      <c r="AE10" s="94" t="s">
        <v>148</v>
      </c>
      <c r="AF10" s="94" t="s">
        <v>110</v>
      </c>
      <c r="AG10" s="94" t="s">
        <v>149</v>
      </c>
      <c r="AH10" s="94" t="s">
        <v>149</v>
      </c>
      <c r="AI10" s="94" t="s">
        <v>149</v>
      </c>
      <c r="AJ10" s="94" t="s">
        <v>149</v>
      </c>
      <c r="AK10" s="94" t="s">
        <v>149</v>
      </c>
      <c r="AL10" s="94" t="s">
        <v>149</v>
      </c>
      <c r="AM10" s="94" t="s">
        <v>149</v>
      </c>
      <c r="AN10" s="94" t="s">
        <v>149</v>
      </c>
      <c r="AO10" s="94" t="s">
        <v>149</v>
      </c>
      <c r="AP10" s="94" t="s">
        <v>149</v>
      </c>
      <c r="AQ10" s="94" t="s">
        <v>149</v>
      </c>
      <c r="AR10" s="94" t="s">
        <v>149</v>
      </c>
      <c r="AS10" s="94" t="s">
        <v>149</v>
      </c>
      <c r="AT10" s="94" t="s">
        <v>149</v>
      </c>
      <c r="AU10" s="94" t="s">
        <v>149</v>
      </c>
      <c r="AV10" s="94" t="s">
        <v>149</v>
      </c>
      <c r="AW10" s="94" t="s">
        <v>150</v>
      </c>
    </row>
    <row r="11" spans="1:49" x14ac:dyDescent="0.15">
      <c r="A11" s="77">
        <v>2016</v>
      </c>
      <c r="B11" s="89">
        <v>42735</v>
      </c>
      <c r="C11" s="90">
        <v>20.762080000000001</v>
      </c>
      <c r="D11" s="91">
        <v>8.6017451074729987</v>
      </c>
      <c r="E11" s="92">
        <v>1262.0771999999999</v>
      </c>
      <c r="F11" s="92">
        <v>95.423640000000006</v>
      </c>
      <c r="H11" s="90">
        <v>0.68155459170587973</v>
      </c>
      <c r="I11" s="90">
        <v>9.0142705806160812</v>
      </c>
      <c r="J11" s="90">
        <v>2.3266266998146388</v>
      </c>
      <c r="K11" s="90">
        <v>30.772065609185518</v>
      </c>
      <c r="L11" s="90">
        <v>2.4157603328949984</v>
      </c>
      <c r="M11" s="91">
        <v>6.1859847745780003</v>
      </c>
      <c r="O11" s="106"/>
      <c r="P11" s="93"/>
      <c r="Q11" s="93">
        <v>8.6017451074729987</v>
      </c>
      <c r="R11" s="93">
        <v>1.1583718172499999</v>
      </c>
      <c r="S11" s="87" t="s">
        <v>151</v>
      </c>
      <c r="T11" s="77" t="s">
        <v>152</v>
      </c>
      <c r="U11" s="77" t="s">
        <v>153</v>
      </c>
      <c r="Y11" s="107" t="s">
        <v>154</v>
      </c>
      <c r="Z11" s="108" t="s">
        <v>41</v>
      </c>
      <c r="AD11" s="109"/>
      <c r="AE11" s="109" t="s">
        <v>155</v>
      </c>
      <c r="AF11" s="109"/>
      <c r="AG11" s="109" t="s">
        <v>156</v>
      </c>
      <c r="AH11" s="109" t="s">
        <v>157</v>
      </c>
      <c r="AI11" s="109" t="s">
        <v>158</v>
      </c>
      <c r="AJ11" s="109" t="s">
        <v>159</v>
      </c>
      <c r="AK11" s="109" t="s">
        <v>160</v>
      </c>
      <c r="AL11" s="109" t="s">
        <v>161</v>
      </c>
      <c r="AM11" s="109" t="s">
        <v>162</v>
      </c>
      <c r="AN11" s="109" t="s">
        <v>163</v>
      </c>
      <c r="AO11" s="109" t="s">
        <v>164</v>
      </c>
      <c r="AP11" s="109" t="s">
        <v>165</v>
      </c>
      <c r="AQ11" s="109" t="s">
        <v>166</v>
      </c>
      <c r="AR11" s="109" t="s">
        <v>167</v>
      </c>
      <c r="AS11" s="109" t="s">
        <v>168</v>
      </c>
      <c r="AT11" s="109" t="s">
        <v>169</v>
      </c>
      <c r="AU11" s="109" t="s">
        <v>170</v>
      </c>
      <c r="AV11" s="109" t="s">
        <v>171</v>
      </c>
      <c r="AW11" s="109" t="s">
        <v>12</v>
      </c>
    </row>
    <row r="12" spans="1:49" x14ac:dyDescent="0.15">
      <c r="A12" s="77">
        <v>2017</v>
      </c>
      <c r="B12" s="89">
        <v>43100</v>
      </c>
      <c r="C12" s="90">
        <v>25.035790000000002</v>
      </c>
      <c r="D12" s="91">
        <v>7.6501914391850008</v>
      </c>
      <c r="E12" s="92">
        <v>1549.06548</v>
      </c>
      <c r="F12" s="92">
        <v>142.54032999999998</v>
      </c>
      <c r="H12" s="90">
        <v>0.49385849326298337</v>
      </c>
      <c r="I12" s="90">
        <v>5.3670364304509475</v>
      </c>
      <c r="J12" s="90">
        <v>2.1100451763462575</v>
      </c>
      <c r="K12" s="90">
        <v>22.931040947628649</v>
      </c>
      <c r="L12" s="90">
        <v>0.65979993553800043</v>
      </c>
      <c r="M12" s="91">
        <v>6.9903915036470003</v>
      </c>
      <c r="N12" s="77">
        <v>17</v>
      </c>
      <c r="O12" s="110">
        <v>268058.1002535001</v>
      </c>
      <c r="P12" s="111">
        <v>26.805810025350009</v>
      </c>
      <c r="Q12" s="93">
        <v>7.6501914391850008</v>
      </c>
      <c r="R12" s="93">
        <v>0.66933412809499993</v>
      </c>
      <c r="S12" s="93">
        <v>8.3195255672800013</v>
      </c>
      <c r="T12" s="112">
        <v>21</v>
      </c>
      <c r="U12" s="113">
        <v>262891.10733000003</v>
      </c>
      <c r="V12" s="77">
        <v>26.289110733000001</v>
      </c>
      <c r="W12" s="90">
        <v>0.51669929235000822</v>
      </c>
      <c r="Y12" s="107" t="s">
        <v>172</v>
      </c>
      <c r="Z12" s="108" t="s">
        <v>173</v>
      </c>
      <c r="AD12" s="109"/>
      <c r="AE12" s="109" t="s">
        <v>172</v>
      </c>
      <c r="AF12" s="109" t="s">
        <v>113</v>
      </c>
      <c r="AG12" s="109" t="s">
        <v>173</v>
      </c>
      <c r="AH12" s="109" t="s">
        <v>173</v>
      </c>
      <c r="AI12" s="109" t="s">
        <v>173</v>
      </c>
      <c r="AJ12" s="109" t="s">
        <v>173</v>
      </c>
      <c r="AK12" s="109" t="s">
        <v>173</v>
      </c>
      <c r="AL12" s="109" t="s">
        <v>173</v>
      </c>
      <c r="AM12" s="109" t="s">
        <v>173</v>
      </c>
      <c r="AN12" s="109" t="s">
        <v>173</v>
      </c>
      <c r="AO12" s="109" t="s">
        <v>173</v>
      </c>
      <c r="AP12" s="109" t="s">
        <v>173</v>
      </c>
      <c r="AQ12" s="109" t="s">
        <v>173</v>
      </c>
      <c r="AR12" s="109" t="s">
        <v>173</v>
      </c>
      <c r="AS12" s="109" t="s">
        <v>173</v>
      </c>
      <c r="AT12" s="109" t="s">
        <v>173</v>
      </c>
      <c r="AU12" s="109" t="s">
        <v>173</v>
      </c>
      <c r="AV12" s="109" t="s">
        <v>173</v>
      </c>
      <c r="AW12" s="109" t="s">
        <v>173</v>
      </c>
    </row>
    <row r="13" spans="1:49" x14ac:dyDescent="0.15">
      <c r="A13" s="77">
        <v>2018</v>
      </c>
      <c r="B13" s="89">
        <v>43465</v>
      </c>
      <c r="C13" s="90">
        <v>28.957380000000001</v>
      </c>
      <c r="D13" s="91">
        <v>4.9579072430720004</v>
      </c>
      <c r="E13" s="92">
        <v>1302.8682699999999</v>
      </c>
      <c r="F13" s="92">
        <v>130.12825000000001</v>
      </c>
      <c r="H13" s="90">
        <v>0.38053787610254725</v>
      </c>
      <c r="I13" s="90">
        <v>3.8100160749660432</v>
      </c>
      <c r="J13" s="90">
        <v>2.6031248149954562</v>
      </c>
      <c r="K13" s="90">
        <v>26.062970371976874</v>
      </c>
      <c r="L13" s="90">
        <v>4.2600754377360008</v>
      </c>
      <c r="M13" s="91">
        <v>0.69783180533599998</v>
      </c>
      <c r="N13" s="77">
        <v>18</v>
      </c>
      <c r="O13" s="110">
        <v>226102.37054850004</v>
      </c>
      <c r="P13" s="111">
        <v>22.610237054850003</v>
      </c>
      <c r="Q13" s="93">
        <v>4.9579072430720004</v>
      </c>
      <c r="R13" s="93">
        <v>0.64861450667499998</v>
      </c>
      <c r="S13" s="93">
        <v>5.6065217497470003</v>
      </c>
      <c r="T13" s="112">
        <v>19</v>
      </c>
      <c r="U13" s="113">
        <v>212661.299875</v>
      </c>
      <c r="V13" s="77">
        <v>21.266129987500001</v>
      </c>
      <c r="W13" s="90">
        <v>1.3441070673500022</v>
      </c>
      <c r="Y13" s="107" t="s">
        <v>174</v>
      </c>
      <c r="Z13" s="108"/>
      <c r="AD13" s="114"/>
      <c r="AE13" s="114" t="s">
        <v>174</v>
      </c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 t="s">
        <v>16</v>
      </c>
      <c r="AW13" s="109" t="s">
        <v>16</v>
      </c>
    </row>
    <row r="14" spans="1:49" x14ac:dyDescent="0.15">
      <c r="A14" s="77">
        <v>2019</v>
      </c>
      <c r="B14" s="89">
        <v>43830</v>
      </c>
      <c r="C14" s="90">
        <v>28.228860000000001</v>
      </c>
      <c r="D14" s="91">
        <v>2.5980707083839998</v>
      </c>
      <c r="E14" s="92">
        <v>1422.51351</v>
      </c>
      <c r="F14" s="92">
        <v>71.06389999999999</v>
      </c>
      <c r="H14" s="90">
        <v>0.182639439985635</v>
      </c>
      <c r="I14" s="90">
        <v>3.6559641511147012</v>
      </c>
      <c r="J14" s="90">
        <v>2.1670747231345455</v>
      </c>
      <c r="K14" s="90">
        <v>43.379171011419309</v>
      </c>
      <c r="L14" s="90">
        <v>2.5980707083839998</v>
      </c>
      <c r="M14" s="91">
        <v>0</v>
      </c>
      <c r="N14" s="77">
        <v>19</v>
      </c>
      <c r="O14" s="110">
        <v>6560.1038239999998</v>
      </c>
      <c r="P14" s="111">
        <v>0.65601038239999998</v>
      </c>
      <c r="Q14" s="93">
        <v>2.5980707083839998</v>
      </c>
      <c r="R14" s="93">
        <v>1.2374491949999999</v>
      </c>
      <c r="S14" s="93">
        <v>3.8355199033839997</v>
      </c>
      <c r="T14" s="112">
        <v>6</v>
      </c>
      <c r="U14" s="113">
        <v>0</v>
      </c>
      <c r="V14" s="77">
        <v>0</v>
      </c>
      <c r="W14" s="90">
        <v>0.65601038239999998</v>
      </c>
      <c r="Y14" s="103"/>
      <c r="Z14" s="115"/>
      <c r="AA14" s="114"/>
      <c r="AD14" s="116" t="s">
        <v>141</v>
      </c>
      <c r="AE14" s="117" t="s">
        <v>146</v>
      </c>
      <c r="AF14" s="117" t="s">
        <v>175</v>
      </c>
      <c r="AG14" s="117" t="s">
        <v>176</v>
      </c>
      <c r="AH14" s="117" t="s">
        <v>176</v>
      </c>
      <c r="AI14" s="117" t="s">
        <v>176</v>
      </c>
      <c r="AJ14" s="117" t="s">
        <v>176</v>
      </c>
      <c r="AK14" s="117" t="s">
        <v>176</v>
      </c>
      <c r="AL14" s="117" t="s">
        <v>176</v>
      </c>
      <c r="AM14" s="117" t="s">
        <v>176</v>
      </c>
      <c r="AN14" s="117" t="s">
        <v>176</v>
      </c>
      <c r="AO14" s="117" t="s">
        <v>176</v>
      </c>
      <c r="AP14" s="117" t="s">
        <v>176</v>
      </c>
      <c r="AQ14" s="117" t="s">
        <v>176</v>
      </c>
      <c r="AR14" s="117" t="s">
        <v>176</v>
      </c>
      <c r="AS14" s="117" t="s">
        <v>176</v>
      </c>
      <c r="AT14" s="117" t="s">
        <v>176</v>
      </c>
      <c r="AU14" s="117" t="s">
        <v>176</v>
      </c>
      <c r="AV14" s="117" t="s">
        <v>176</v>
      </c>
      <c r="AW14" s="117" t="s">
        <v>176</v>
      </c>
    </row>
    <row r="15" spans="1:49" x14ac:dyDescent="0.15">
      <c r="A15" s="77">
        <v>2020</v>
      </c>
      <c r="B15" s="89">
        <v>44196</v>
      </c>
      <c r="C15" s="90">
        <v>38.247309999999999</v>
      </c>
      <c r="D15" s="91">
        <v>2.8843293037470001</v>
      </c>
      <c r="E15" s="92">
        <v>1899.4944699999999</v>
      </c>
      <c r="F15" s="92">
        <v>84.681960000000004</v>
      </c>
      <c r="H15" s="90">
        <v>0.15184720720703127</v>
      </c>
      <c r="I15" s="90">
        <v>3.4060729153493847</v>
      </c>
      <c r="J15" s="90">
        <v>2.1653992656133925</v>
      </c>
      <c r="K15" s="90">
        <v>48.571902804029335</v>
      </c>
      <c r="L15" s="90">
        <v>2.8843293037470001</v>
      </c>
      <c r="M15" s="91">
        <v>0</v>
      </c>
      <c r="N15" s="77">
        <v>20</v>
      </c>
      <c r="O15" s="110">
        <v>11709.390756949999</v>
      </c>
      <c r="P15" s="111">
        <v>1.1709390756949998</v>
      </c>
      <c r="Q15" s="93">
        <v>2.8843293037470001</v>
      </c>
      <c r="R15" s="93">
        <v>1.9848559280000002</v>
      </c>
      <c r="S15" s="93">
        <v>4.8691852317470001</v>
      </c>
      <c r="T15" s="112">
        <v>28</v>
      </c>
      <c r="U15" s="113">
        <v>0</v>
      </c>
      <c r="V15" s="77">
        <v>0</v>
      </c>
      <c r="W15" s="90">
        <v>1.1709390756949998</v>
      </c>
      <c r="Y15" s="116" t="s">
        <v>177</v>
      </c>
      <c r="Z15" s="118" t="s">
        <v>178</v>
      </c>
      <c r="AA15" s="117"/>
      <c r="AD15" s="119" t="s">
        <v>142</v>
      </c>
      <c r="AE15" s="95" t="s">
        <v>147</v>
      </c>
      <c r="AF15" s="119"/>
      <c r="AG15" s="120">
        <v>78770.25</v>
      </c>
      <c r="AH15" s="120">
        <v>85934.33</v>
      </c>
      <c r="AI15" s="120">
        <v>81824.490000000005</v>
      </c>
      <c r="AJ15" s="120">
        <v>66637.06</v>
      </c>
      <c r="AK15" s="120">
        <v>75258.59</v>
      </c>
      <c r="AL15" s="120">
        <v>89349.31</v>
      </c>
      <c r="AM15" s="120">
        <v>95423.64</v>
      </c>
      <c r="AN15" s="120">
        <v>142540.32999999999</v>
      </c>
      <c r="AO15" s="120">
        <v>130128.25</v>
      </c>
      <c r="AP15" s="120">
        <v>71063.899999999994</v>
      </c>
      <c r="AQ15" s="120">
        <v>84681.96</v>
      </c>
      <c r="AR15" s="120">
        <v>190280.18</v>
      </c>
      <c r="AS15" s="120">
        <v>159650.07</v>
      </c>
      <c r="AT15" s="120">
        <v>105754.5</v>
      </c>
      <c r="AU15" s="120">
        <v>168025.38</v>
      </c>
      <c r="AV15" s="120">
        <v>216803.28</v>
      </c>
      <c r="AW15" s="120">
        <v>484029.16</v>
      </c>
    </row>
    <row r="16" spans="1:49" x14ac:dyDescent="0.15">
      <c r="A16" s="77">
        <v>2021</v>
      </c>
      <c r="B16" s="89">
        <v>44561</v>
      </c>
      <c r="C16" s="90">
        <v>37.271209999999996</v>
      </c>
      <c r="D16" s="90">
        <v>1.8232304307980001</v>
      </c>
      <c r="E16" s="92">
        <v>2123.6630499999997</v>
      </c>
      <c r="F16" s="92">
        <v>190.28018</v>
      </c>
      <c r="H16" s="90">
        <v>8.585309382286424E-2</v>
      </c>
      <c r="I16" s="90">
        <v>0.95818199814505112</v>
      </c>
      <c r="J16" s="90">
        <v>1.8408965787109215</v>
      </c>
      <c r="K16" s="90">
        <v>20.545723906083122</v>
      </c>
      <c r="L16" s="90">
        <v>1.8232304307980001</v>
      </c>
      <c r="M16" s="90">
        <v>0</v>
      </c>
      <c r="N16" s="77">
        <v>21</v>
      </c>
      <c r="O16" s="110">
        <v>31523.917470499997</v>
      </c>
      <c r="P16" s="111">
        <v>3.1523917470499998</v>
      </c>
      <c r="Q16" s="93">
        <v>1.8232304307980001</v>
      </c>
      <c r="R16" s="93">
        <v>1.027406252</v>
      </c>
      <c r="S16" s="93">
        <v>2.8506366827980001</v>
      </c>
      <c r="T16" s="112">
        <v>13</v>
      </c>
      <c r="U16" s="113">
        <v>0</v>
      </c>
      <c r="V16" s="77">
        <v>0</v>
      </c>
      <c r="W16" s="90">
        <v>3.1523917470499998</v>
      </c>
      <c r="Y16" s="121" t="s">
        <v>179</v>
      </c>
      <c r="Z16" s="122">
        <v>1116434.25</v>
      </c>
      <c r="AA16" s="81"/>
      <c r="AD16" s="119" t="s">
        <v>180</v>
      </c>
      <c r="AE16" s="95" t="s">
        <v>181</v>
      </c>
      <c r="AF16" s="119">
        <v>12</v>
      </c>
      <c r="AG16" s="123">
        <v>15799.04</v>
      </c>
      <c r="AH16" s="123">
        <v>13382.65</v>
      </c>
      <c r="AI16" s="123">
        <v>23185.38</v>
      </c>
      <c r="AJ16" s="123">
        <v>29821.22</v>
      </c>
      <c r="AK16" s="123">
        <v>23082.5</v>
      </c>
      <c r="AL16" s="123">
        <v>18694.63</v>
      </c>
      <c r="AM16" s="123">
        <v>22415.66</v>
      </c>
      <c r="AN16" s="123">
        <v>41344.57</v>
      </c>
      <c r="AO16" s="123">
        <v>43890.879999999997</v>
      </c>
      <c r="AP16" s="123">
        <v>21505.05</v>
      </c>
      <c r="AQ16" s="123">
        <v>26090.85</v>
      </c>
      <c r="AR16" s="123">
        <v>39243.79</v>
      </c>
      <c r="AS16" s="123">
        <v>54730.02</v>
      </c>
      <c r="AT16" s="123">
        <v>14473.4</v>
      </c>
      <c r="AU16" s="123">
        <v>33621.360000000001</v>
      </c>
      <c r="AV16" s="124">
        <v>44260.959999999999</v>
      </c>
      <c r="AW16" s="124">
        <v>164617.18</v>
      </c>
    </row>
    <row r="17" spans="1:49" x14ac:dyDescent="0.15">
      <c r="A17" s="77">
        <v>2022</v>
      </c>
      <c r="B17" s="89">
        <v>44926</v>
      </c>
      <c r="C17" s="90">
        <v>37.280670000000001</v>
      </c>
      <c r="D17" s="90">
        <v>2.5737204856519997</v>
      </c>
      <c r="E17" s="92">
        <v>1709.5496799999999</v>
      </c>
      <c r="F17" s="92">
        <v>159.65007</v>
      </c>
      <c r="H17" s="90">
        <v>0.15054961641430625</v>
      </c>
      <c r="I17" s="90">
        <v>1.6121010693274356</v>
      </c>
      <c r="J17" s="90">
        <v>2.3312800412826844</v>
      </c>
      <c r="K17" s="90">
        <v>24.963590987246043</v>
      </c>
      <c r="L17" s="90">
        <v>2.5737204856519997</v>
      </c>
      <c r="M17" s="90">
        <v>0</v>
      </c>
      <c r="N17" s="77">
        <v>22</v>
      </c>
      <c r="O17" s="110">
        <v>27305.015256500003</v>
      </c>
      <c r="P17" s="111">
        <v>2.7305015256500003</v>
      </c>
      <c r="Q17" s="93">
        <v>2.5737204856519997</v>
      </c>
      <c r="R17" s="93">
        <v>1.4742606282999999</v>
      </c>
      <c r="S17" s="93">
        <v>4.0479811139519999</v>
      </c>
      <c r="T17" s="112">
        <v>29</v>
      </c>
      <c r="U17" s="113">
        <v>0</v>
      </c>
      <c r="V17" s="77">
        <v>0</v>
      </c>
      <c r="W17" s="90">
        <v>2.7305015256500003</v>
      </c>
      <c r="Y17" s="121" t="s">
        <v>182</v>
      </c>
      <c r="Z17" s="122">
        <v>1017555.41</v>
      </c>
      <c r="AA17" s="81"/>
    </row>
    <row r="18" spans="1:49" x14ac:dyDescent="0.15">
      <c r="A18" s="77">
        <v>2023</v>
      </c>
      <c r="B18" s="89">
        <v>45291</v>
      </c>
      <c r="C18" s="90">
        <v>38.936900000000001</v>
      </c>
      <c r="D18" s="90">
        <v>3.3846270684559996</v>
      </c>
      <c r="E18" s="92">
        <v>2056.7187100000001</v>
      </c>
      <c r="F18" s="92">
        <v>105.75449999999999</v>
      </c>
      <c r="H18" s="90">
        <v>0.16456441281929116</v>
      </c>
      <c r="I18" s="90">
        <v>3.2004567828848889</v>
      </c>
      <c r="J18" s="90">
        <v>2.0577207210049639</v>
      </c>
      <c r="K18" s="90">
        <v>40.018653644484161</v>
      </c>
      <c r="L18" s="90">
        <v>3.3846270684559996</v>
      </c>
      <c r="M18" s="90">
        <v>0</v>
      </c>
      <c r="N18" s="77">
        <v>23</v>
      </c>
      <c r="O18" s="110">
        <v>43384.254592289995</v>
      </c>
      <c r="P18" s="111">
        <v>4.3384254592289997</v>
      </c>
      <c r="Q18" s="93">
        <v>3.3846270684559996</v>
      </c>
      <c r="R18" s="93">
        <v>3.4096803073599999</v>
      </c>
      <c r="S18" s="93">
        <v>6.7943073758159995</v>
      </c>
      <c r="T18" s="112">
        <v>59</v>
      </c>
      <c r="U18" s="113">
        <v>0</v>
      </c>
      <c r="V18" s="77">
        <v>0</v>
      </c>
      <c r="W18" s="90">
        <v>4.3384254592289997</v>
      </c>
      <c r="Y18" s="121" t="s">
        <v>183</v>
      </c>
      <c r="Z18" s="122">
        <v>1124358.33</v>
      </c>
      <c r="AA18" s="81"/>
    </row>
    <row r="19" spans="1:49" x14ac:dyDescent="0.15">
      <c r="A19" s="77">
        <v>2024</v>
      </c>
      <c r="B19" s="89">
        <v>45657</v>
      </c>
      <c r="C19" s="90">
        <v>43.265129999999999</v>
      </c>
      <c r="D19" s="90">
        <v>7.4631594091060007</v>
      </c>
      <c r="E19" s="92">
        <v>1907.8148500000002</v>
      </c>
      <c r="F19" s="92">
        <v>168.02538000000001</v>
      </c>
      <c r="H19" s="90">
        <v>0.39118887291950788</v>
      </c>
      <c r="I19" s="90">
        <v>4.4416857793185773</v>
      </c>
      <c r="J19" s="90">
        <v>2.6589734013814805</v>
      </c>
      <c r="K19" s="90">
        <v>30.190849387816286</v>
      </c>
      <c r="L19" s="90">
        <v>5.6772453791060009</v>
      </c>
      <c r="M19" s="90">
        <v>1.7859140299999998</v>
      </c>
      <c r="N19" s="77">
        <v>24</v>
      </c>
      <c r="O19" s="110">
        <v>123430.87856494998</v>
      </c>
      <c r="P19" s="111">
        <v>12.343087856494998</v>
      </c>
      <c r="Q19" s="93">
        <v>7.4631594091060007</v>
      </c>
      <c r="R19" s="93">
        <v>4.6518868049999993</v>
      </c>
      <c r="S19" s="93">
        <v>12.115046214106</v>
      </c>
      <c r="T19" s="112">
        <v>96</v>
      </c>
      <c r="U19" s="113">
        <v>0</v>
      </c>
      <c r="V19" s="77">
        <v>0</v>
      </c>
      <c r="W19" s="90">
        <v>12.343087856494998</v>
      </c>
      <c r="Y19" s="121" t="s">
        <v>184</v>
      </c>
      <c r="Z19" s="122">
        <v>1147574.6399999999</v>
      </c>
      <c r="AA19" s="81"/>
      <c r="AD19" s="79" t="s">
        <v>18</v>
      </c>
      <c r="AE19" s="77" t="s">
        <v>185</v>
      </c>
      <c r="AU19" s="77" t="s">
        <v>186</v>
      </c>
    </row>
    <row r="20" spans="1:49" x14ac:dyDescent="0.15">
      <c r="A20" s="77">
        <v>2025</v>
      </c>
      <c r="B20" s="89">
        <v>46022</v>
      </c>
      <c r="C20" s="90">
        <v>47.13899</v>
      </c>
      <c r="D20" s="90">
        <v>14.860698783974</v>
      </c>
      <c r="E20" s="92">
        <v>3376.90706</v>
      </c>
      <c r="F20" s="92">
        <v>216.80328</v>
      </c>
      <c r="H20" s="90">
        <v>0.44006833827324821</v>
      </c>
      <c r="I20" s="90">
        <v>6.8544621575716018</v>
      </c>
      <c r="J20" s="90">
        <v>1.8359903806169304</v>
      </c>
      <c r="K20" s="90">
        <v>28.597209776519065</v>
      </c>
      <c r="L20" s="90">
        <v>7.6749713319739987</v>
      </c>
      <c r="M20" s="90">
        <v>7.185727452000001</v>
      </c>
      <c r="N20" s="77">
        <v>25</v>
      </c>
      <c r="O20" s="110">
        <v>226363.26130696005</v>
      </c>
      <c r="P20" s="111">
        <v>22.636326130696006</v>
      </c>
      <c r="Q20" s="93">
        <v>14.860698783974</v>
      </c>
      <c r="R20" s="93">
        <v>5.2408029200000001</v>
      </c>
      <c r="S20" s="93">
        <v>20.101501703974002</v>
      </c>
      <c r="T20" s="112">
        <v>150</v>
      </c>
      <c r="U20" s="113">
        <v>29434.896636000001</v>
      </c>
      <c r="V20" s="77">
        <v>2.9434896636000003</v>
      </c>
      <c r="W20" s="90">
        <v>19.692836467096004</v>
      </c>
      <c r="Y20" s="121" t="s">
        <v>187</v>
      </c>
      <c r="Z20" s="122">
        <v>1151686.55</v>
      </c>
      <c r="AA20" s="81"/>
      <c r="AU20" s="77" t="s">
        <v>170</v>
      </c>
    </row>
    <row r="21" spans="1:49" x14ac:dyDescent="0.15">
      <c r="A21" s="77">
        <v>2026</v>
      </c>
      <c r="B21" s="89">
        <v>46111</v>
      </c>
      <c r="C21" s="90">
        <v>58.614629999999998</v>
      </c>
      <c r="D21" s="90">
        <v>7.2290092352180002</v>
      </c>
      <c r="E21" s="92">
        <v>4319.7800299999999</v>
      </c>
      <c r="F21" s="92">
        <v>484.02915999999999</v>
      </c>
      <c r="H21" s="90">
        <v>0.16734669786456696</v>
      </c>
      <c r="I21" s="90">
        <v>1.4935069687160998</v>
      </c>
      <c r="J21" s="90">
        <v>1.524235928171046</v>
      </c>
      <c r="K21" s="90">
        <v>13.603238126235617</v>
      </c>
      <c r="L21" s="90">
        <v>1.156004416</v>
      </c>
      <c r="M21" s="90">
        <v>6.0730048192180002</v>
      </c>
      <c r="N21" s="77">
        <v>26.03</v>
      </c>
      <c r="O21" s="110">
        <v>77819.589019120001</v>
      </c>
      <c r="P21" s="111">
        <v>7.7819589019120006</v>
      </c>
      <c r="Q21" s="93">
        <v>14.860698783974</v>
      </c>
      <c r="R21" s="93">
        <v>5.2408029200000001</v>
      </c>
      <c r="S21" s="93">
        <v>20.101501703974002</v>
      </c>
      <c r="T21" s="112">
        <v>47</v>
      </c>
      <c r="U21" s="113">
        <v>0</v>
      </c>
      <c r="V21" s="77">
        <v>0</v>
      </c>
      <c r="W21" s="90">
        <v>7.7819589019120006</v>
      </c>
      <c r="Y21" s="121" t="s">
        <v>188</v>
      </c>
      <c r="Z21" s="122">
        <v>1199521.3</v>
      </c>
      <c r="AA21" s="81"/>
      <c r="AD21" s="88" t="s">
        <v>138</v>
      </c>
      <c r="AU21" s="77" t="s">
        <v>14</v>
      </c>
    </row>
    <row r="22" spans="1:49" x14ac:dyDescent="0.15">
      <c r="Y22" s="121" t="s">
        <v>189</v>
      </c>
      <c r="Z22" s="122">
        <v>1262077.2</v>
      </c>
      <c r="AA22" s="81"/>
      <c r="AD22" s="94" t="s">
        <v>107</v>
      </c>
      <c r="AE22" s="94" t="s">
        <v>108</v>
      </c>
      <c r="AF22" s="94" t="s">
        <v>32</v>
      </c>
      <c r="AU22" s="77" t="s">
        <v>22</v>
      </c>
    </row>
    <row r="23" spans="1:49" x14ac:dyDescent="0.15">
      <c r="C23" s="92" t="s">
        <v>190</v>
      </c>
      <c r="D23" s="77" t="s">
        <v>191</v>
      </c>
      <c r="L23" s="81" t="s">
        <v>192</v>
      </c>
      <c r="M23" s="81"/>
      <c r="U23" s="125"/>
      <c r="Y23" s="121" t="s">
        <v>193</v>
      </c>
      <c r="Z23" s="122">
        <v>1549065.48</v>
      </c>
      <c r="AA23" s="81"/>
      <c r="AD23" s="95"/>
      <c r="AE23" s="95"/>
      <c r="AF23" s="95"/>
      <c r="AU23" s="77" t="s">
        <v>194</v>
      </c>
    </row>
    <row r="24" spans="1:49" x14ac:dyDescent="0.15">
      <c r="A24" s="77" t="s">
        <v>195</v>
      </c>
      <c r="C24" s="77" t="s">
        <v>196</v>
      </c>
      <c r="D24" s="77" t="s">
        <v>197</v>
      </c>
      <c r="E24" s="77" t="s">
        <v>127</v>
      </c>
      <c r="F24" s="77" t="s">
        <v>198</v>
      </c>
      <c r="G24" s="77" t="s">
        <v>199</v>
      </c>
      <c r="H24" s="85" t="s">
        <v>200</v>
      </c>
      <c r="I24" s="85" t="s">
        <v>201</v>
      </c>
      <c r="L24" s="85" t="s">
        <v>202</v>
      </c>
      <c r="M24" s="126"/>
      <c r="R24" s="77">
        <v>7.5</v>
      </c>
      <c r="S24" s="77">
        <v>6.5</v>
      </c>
      <c r="U24" s="125"/>
      <c r="Y24" s="121" t="s">
        <v>203</v>
      </c>
      <c r="Z24" s="122">
        <v>1302868.27</v>
      </c>
      <c r="AA24" s="81"/>
      <c r="AD24" s="95"/>
      <c r="AE24" s="95"/>
      <c r="AF24" s="95"/>
    </row>
    <row r="25" spans="1:49" x14ac:dyDescent="0.15">
      <c r="B25" s="127">
        <v>40178</v>
      </c>
      <c r="C25" s="128">
        <v>3771777.6874783123</v>
      </c>
      <c r="D25" s="92">
        <v>963834.24999899999</v>
      </c>
      <c r="E25" s="92">
        <v>196422339.60726199</v>
      </c>
      <c r="F25" s="92">
        <v>28511.714007999901</v>
      </c>
      <c r="G25" s="92">
        <v>4239557.79881055</v>
      </c>
      <c r="H25" s="90">
        <v>0.49069482215014087</v>
      </c>
      <c r="I25" s="92">
        <v>22.734310881889929</v>
      </c>
      <c r="J25" s="90">
        <v>2.4109334747493407</v>
      </c>
      <c r="K25" s="90">
        <v>111.7006103515309</v>
      </c>
      <c r="R25" s="77">
        <v>6.5423076923076913</v>
      </c>
      <c r="S25" s="77">
        <v>5.67</v>
      </c>
      <c r="Y25" s="121" t="s">
        <v>204</v>
      </c>
      <c r="Z25" s="122">
        <v>1422513.51</v>
      </c>
      <c r="AA25" s="81"/>
      <c r="AD25" s="97"/>
      <c r="AE25" s="97"/>
      <c r="AF25" s="97"/>
    </row>
    <row r="26" spans="1:49" x14ac:dyDescent="0.15">
      <c r="B26" s="127">
        <v>40543</v>
      </c>
      <c r="C26" s="128">
        <v>3789753.3014953672</v>
      </c>
      <c r="D26" s="92">
        <v>1614936.2716679999</v>
      </c>
      <c r="E26" s="92">
        <v>198655981.748759</v>
      </c>
      <c r="F26" s="129">
        <v>16402772.251997</v>
      </c>
      <c r="G26" s="92">
        <v>11574592.8291451</v>
      </c>
      <c r="H26" s="90">
        <v>0.81293110705844052</v>
      </c>
      <c r="I26" s="92">
        <v>13.952424033453273</v>
      </c>
      <c r="J26" s="90">
        <v>2.7206276526818605</v>
      </c>
      <c r="K26" s="90">
        <v>46.694425047542317</v>
      </c>
      <c r="Y26" s="121" t="s">
        <v>205</v>
      </c>
      <c r="Z26" s="122">
        <v>1899494.47</v>
      </c>
      <c r="AA26" s="81"/>
      <c r="AG26" s="77">
        <v>2010</v>
      </c>
      <c r="AH26" s="77">
        <v>2011</v>
      </c>
      <c r="AI26" s="77">
        <v>2012</v>
      </c>
      <c r="AJ26" s="77">
        <v>2013</v>
      </c>
      <c r="AK26" s="77">
        <v>2014</v>
      </c>
      <c r="AL26" s="77">
        <v>2015</v>
      </c>
      <c r="AM26" s="77">
        <v>2016</v>
      </c>
      <c r="AN26" s="77">
        <v>2017</v>
      </c>
      <c r="AO26" s="77">
        <v>2018</v>
      </c>
      <c r="AP26" s="77">
        <v>2019</v>
      </c>
      <c r="AQ26" s="77">
        <v>2020</v>
      </c>
      <c r="AR26" s="77">
        <v>2021</v>
      </c>
      <c r="AS26" s="77">
        <v>2022</v>
      </c>
      <c r="AT26" s="77">
        <v>2023</v>
      </c>
      <c r="AU26" s="77">
        <v>2024</v>
      </c>
      <c r="AV26" s="77">
        <v>2025</v>
      </c>
      <c r="AW26" s="77">
        <v>2026</v>
      </c>
    </row>
    <row r="27" spans="1:49" x14ac:dyDescent="0.15">
      <c r="B27" s="127">
        <v>40908</v>
      </c>
      <c r="C27" s="128">
        <v>3578466.6142374519</v>
      </c>
      <c r="D27" s="92">
        <v>2226442.4166660002</v>
      </c>
      <c r="E27" s="92">
        <v>157705187.92824599</v>
      </c>
      <c r="F27" s="92">
        <v>7814925.3025010005</v>
      </c>
      <c r="G27" s="92">
        <v>8324235.5131153204</v>
      </c>
      <c r="H27" s="90">
        <v>1.4117749998681117</v>
      </c>
      <c r="I27" s="92">
        <v>26.746509191842421</v>
      </c>
      <c r="J27" s="90">
        <v>3.6808611734096011</v>
      </c>
      <c r="K27" s="90">
        <v>69.735040794526753</v>
      </c>
      <c r="Y27" s="121" t="s">
        <v>206</v>
      </c>
      <c r="Z27" s="122">
        <v>2123663.0499999998</v>
      </c>
      <c r="AA27" s="81"/>
      <c r="AD27" s="94"/>
      <c r="AE27" s="94" t="s">
        <v>148</v>
      </c>
      <c r="AF27" s="94" t="s">
        <v>110</v>
      </c>
      <c r="AG27" s="94" t="s">
        <v>48</v>
      </c>
      <c r="AH27" s="94" t="s">
        <v>48</v>
      </c>
      <c r="AI27" s="94" t="s">
        <v>48</v>
      </c>
      <c r="AJ27" s="94" t="s">
        <v>48</v>
      </c>
      <c r="AK27" s="94" t="s">
        <v>48</v>
      </c>
      <c r="AL27" s="94" t="s">
        <v>48</v>
      </c>
      <c r="AM27" s="94" t="s">
        <v>48</v>
      </c>
      <c r="AN27" s="94" t="s">
        <v>48</v>
      </c>
      <c r="AO27" s="94" t="s">
        <v>48</v>
      </c>
      <c r="AP27" s="94" t="s">
        <v>48</v>
      </c>
      <c r="AQ27" s="94" t="s">
        <v>48</v>
      </c>
      <c r="AR27" s="94" t="s">
        <v>48</v>
      </c>
      <c r="AS27" s="94" t="s">
        <v>48</v>
      </c>
      <c r="AT27" s="94" t="s">
        <v>48</v>
      </c>
      <c r="AU27" s="94" t="s">
        <v>48</v>
      </c>
      <c r="AV27" s="94" t="s">
        <v>55</v>
      </c>
      <c r="AW27" s="94" t="s">
        <v>55</v>
      </c>
    </row>
    <row r="28" spans="1:49" x14ac:dyDescent="0.15">
      <c r="B28" s="127">
        <v>41274</v>
      </c>
      <c r="C28" s="128">
        <v>3747419.5003977553</v>
      </c>
      <c r="D28" s="92">
        <v>1054558.213333</v>
      </c>
      <c r="E28" s="92">
        <v>188962463.49126801</v>
      </c>
      <c r="F28" s="92">
        <v>13500714.218877999</v>
      </c>
      <c r="G28" s="92">
        <v>9697455.1701221298</v>
      </c>
      <c r="H28" s="90">
        <v>0.5580781462354989</v>
      </c>
      <c r="I28" s="92">
        <v>10.874587145110967</v>
      </c>
      <c r="J28" s="90">
        <v>2.5412336529750288</v>
      </c>
      <c r="K28" s="90">
        <v>49.517916087157111</v>
      </c>
      <c r="O28" s="77" t="s">
        <v>207</v>
      </c>
      <c r="Y28" s="121" t="s">
        <v>208</v>
      </c>
      <c r="Z28" s="122">
        <v>1709549.68</v>
      </c>
      <c r="AA28" s="81"/>
      <c r="AD28" s="109"/>
      <c r="AE28" s="109" t="s">
        <v>155</v>
      </c>
      <c r="AF28" s="109"/>
      <c r="AG28" s="109" t="s">
        <v>156</v>
      </c>
      <c r="AH28" s="109" t="s">
        <v>157</v>
      </c>
      <c r="AI28" s="109" t="s">
        <v>158</v>
      </c>
      <c r="AJ28" s="109" t="s">
        <v>159</v>
      </c>
      <c r="AK28" s="109" t="s">
        <v>160</v>
      </c>
      <c r="AL28" s="109" t="s">
        <v>161</v>
      </c>
      <c r="AM28" s="109" t="s">
        <v>162</v>
      </c>
      <c r="AN28" s="109" t="s">
        <v>163</v>
      </c>
      <c r="AO28" s="109" t="s">
        <v>164</v>
      </c>
      <c r="AP28" s="109" t="s">
        <v>165</v>
      </c>
      <c r="AQ28" s="109" t="s">
        <v>166</v>
      </c>
      <c r="AR28" s="109" t="s">
        <v>167</v>
      </c>
      <c r="AS28" s="109" t="s">
        <v>168</v>
      </c>
      <c r="AT28" s="109" t="s">
        <v>169</v>
      </c>
      <c r="AU28" s="109" t="s">
        <v>170</v>
      </c>
      <c r="AV28" s="109" t="s">
        <v>171</v>
      </c>
      <c r="AW28" s="109" t="s">
        <v>209</v>
      </c>
    </row>
    <row r="29" spans="1:49" x14ac:dyDescent="0.15">
      <c r="B29" s="127">
        <v>41639</v>
      </c>
      <c r="C29" s="128">
        <v>5389740.5824974179</v>
      </c>
      <c r="D29" s="92">
        <v>1858516.032165</v>
      </c>
      <c r="E29" s="92">
        <v>291482143.98110801</v>
      </c>
      <c r="F29" s="92">
        <v>22066014.180656999</v>
      </c>
      <c r="G29" s="92">
        <v>16116193.682548599</v>
      </c>
      <c r="H29" s="90">
        <v>0.6376088794946756</v>
      </c>
      <c r="I29" s="92">
        <v>11.531978758591688</v>
      </c>
      <c r="J29" s="90">
        <v>2.4866897559022361</v>
      </c>
      <c r="K29" s="90">
        <v>44.974990729425052</v>
      </c>
      <c r="O29" s="77" t="s">
        <v>210</v>
      </c>
      <c r="Y29" s="121" t="s">
        <v>211</v>
      </c>
      <c r="Z29" s="122">
        <v>2056718.71</v>
      </c>
      <c r="AA29" s="81"/>
      <c r="AD29" s="109"/>
      <c r="AE29" s="109" t="s">
        <v>172</v>
      </c>
      <c r="AF29" s="109" t="s">
        <v>113</v>
      </c>
      <c r="AG29" s="109" t="s">
        <v>173</v>
      </c>
      <c r="AH29" s="109" t="s">
        <v>173</v>
      </c>
      <c r="AI29" s="109" t="s">
        <v>173</v>
      </c>
      <c r="AJ29" s="109" t="s">
        <v>173</v>
      </c>
      <c r="AK29" s="109" t="s">
        <v>173</v>
      </c>
      <c r="AL29" s="109" t="s">
        <v>173</v>
      </c>
      <c r="AM29" s="109" t="s">
        <v>173</v>
      </c>
      <c r="AN29" s="109" t="s">
        <v>173</v>
      </c>
      <c r="AO29" s="109" t="s">
        <v>173</v>
      </c>
      <c r="AP29" s="109" t="s">
        <v>173</v>
      </c>
      <c r="AQ29" s="109" t="s">
        <v>173</v>
      </c>
      <c r="AR29" s="109" t="s">
        <v>173</v>
      </c>
      <c r="AS29" s="109" t="s">
        <v>173</v>
      </c>
      <c r="AT29" s="109" t="s">
        <v>173</v>
      </c>
      <c r="AU29" s="109" t="s">
        <v>173</v>
      </c>
      <c r="AV29" s="109" t="s">
        <v>173</v>
      </c>
      <c r="AW29" s="109" t="s">
        <v>173</v>
      </c>
    </row>
    <row r="30" spans="1:49" x14ac:dyDescent="0.15">
      <c r="B30" s="127">
        <v>42004</v>
      </c>
      <c r="C30" s="128">
        <v>5384430.9953699885</v>
      </c>
      <c r="D30" s="92">
        <v>3651043.290918</v>
      </c>
      <c r="E30" s="92">
        <v>316681570.43604302</v>
      </c>
      <c r="F30" s="92">
        <v>24320453.426368002</v>
      </c>
      <c r="G30" s="92">
        <v>19156453.496526901</v>
      </c>
      <c r="H30" s="90">
        <v>1.1529067782159947</v>
      </c>
      <c r="I30" s="92">
        <v>19.059077357820648</v>
      </c>
      <c r="J30" s="90">
        <v>2.8531733860757749</v>
      </c>
      <c r="K30" s="90">
        <v>47.166738289663776</v>
      </c>
      <c r="O30" s="77" t="s">
        <v>123</v>
      </c>
      <c r="Y30" s="121" t="s">
        <v>212</v>
      </c>
      <c r="Z30" s="122">
        <v>1907814.85</v>
      </c>
      <c r="AA30" s="81"/>
      <c r="AD30" s="114"/>
      <c r="AE30" s="114" t="s">
        <v>174</v>
      </c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 t="s">
        <v>16</v>
      </c>
      <c r="AW30" s="109" t="s">
        <v>16</v>
      </c>
    </row>
    <row r="31" spans="1:49" x14ac:dyDescent="0.15">
      <c r="B31" s="127">
        <v>42369</v>
      </c>
      <c r="C31" s="128">
        <v>7911358.8017559536</v>
      </c>
      <c r="D31" s="92">
        <v>4666027.5326659996</v>
      </c>
      <c r="E31" s="92">
        <v>347981596.219688</v>
      </c>
      <c r="F31" s="92">
        <v>26528532.290484</v>
      </c>
      <c r="G31" s="92">
        <v>19921973.811936501</v>
      </c>
      <c r="H31" s="90">
        <v>1.340883421237093</v>
      </c>
      <c r="I31" s="92">
        <v>23.421512229226458</v>
      </c>
      <c r="J31" s="90">
        <v>3.6143826199594726</v>
      </c>
      <c r="K31" s="90">
        <v>63.133233951377122</v>
      </c>
      <c r="P31" s="101" t="s">
        <v>297</v>
      </c>
      <c r="Q31" s="101" t="s">
        <v>298</v>
      </c>
      <c r="Y31" s="121" t="s">
        <v>213</v>
      </c>
      <c r="Z31" s="122">
        <v>3376907.06</v>
      </c>
      <c r="AD31" s="116" t="s">
        <v>141</v>
      </c>
      <c r="AE31" s="117" t="s">
        <v>146</v>
      </c>
      <c r="AF31" s="117" t="s">
        <v>175</v>
      </c>
      <c r="AG31" s="117" t="s">
        <v>214</v>
      </c>
      <c r="AH31" s="117" t="s">
        <v>214</v>
      </c>
      <c r="AI31" s="117" t="s">
        <v>214</v>
      </c>
      <c r="AJ31" s="117" t="s">
        <v>214</v>
      </c>
      <c r="AK31" s="117" t="s">
        <v>214</v>
      </c>
      <c r="AL31" s="117" t="s">
        <v>214</v>
      </c>
      <c r="AM31" s="117" t="s">
        <v>214</v>
      </c>
      <c r="AN31" s="117" t="s">
        <v>214</v>
      </c>
      <c r="AO31" s="117" t="s">
        <v>214</v>
      </c>
      <c r="AP31" s="117" t="s">
        <v>214</v>
      </c>
      <c r="AQ31" s="117" t="s">
        <v>214</v>
      </c>
      <c r="AR31" s="117" t="s">
        <v>214</v>
      </c>
      <c r="AS31" s="117" t="s">
        <v>214</v>
      </c>
      <c r="AT31" s="117" t="s">
        <v>214</v>
      </c>
      <c r="AU31" s="117" t="s">
        <v>214</v>
      </c>
      <c r="AV31" s="117" t="s">
        <v>215</v>
      </c>
      <c r="AW31" s="117" t="s">
        <v>215</v>
      </c>
    </row>
    <row r="32" spans="1:49" x14ac:dyDescent="0.15">
      <c r="B32" s="127">
        <v>42735</v>
      </c>
      <c r="C32" s="128">
        <v>6914266.0502359243</v>
      </c>
      <c r="D32" s="92">
        <v>5659214.9946670001</v>
      </c>
      <c r="E32" s="92">
        <v>343631367.933065</v>
      </c>
      <c r="F32" s="92">
        <v>24870722.769058</v>
      </c>
      <c r="G32" s="92">
        <v>20518728.845275901</v>
      </c>
      <c r="H32" s="90">
        <v>1.6468854484114916</v>
      </c>
      <c r="I32" s="92">
        <v>27.580728988335657</v>
      </c>
      <c r="J32" s="90">
        <v>3.6590027041280115</v>
      </c>
      <c r="K32" s="90">
        <v>61.278070097396707</v>
      </c>
      <c r="L32" s="92">
        <v>2543.3736912539998</v>
      </c>
      <c r="M32" s="92"/>
      <c r="R32" s="147" t="s">
        <v>296</v>
      </c>
      <c r="Y32" s="121" t="s">
        <v>216</v>
      </c>
      <c r="Z32" s="122">
        <v>4319780.03</v>
      </c>
      <c r="AD32" s="119" t="s">
        <v>142</v>
      </c>
      <c r="AE32" s="95" t="s">
        <v>147</v>
      </c>
      <c r="AF32" s="119"/>
      <c r="AG32" s="120">
        <v>14364.08</v>
      </c>
      <c r="AH32" s="120">
        <v>14016.77</v>
      </c>
      <c r="AI32" s="120">
        <v>12202.3</v>
      </c>
      <c r="AJ32" s="120">
        <v>11738.12</v>
      </c>
      <c r="AK32" s="120">
        <v>14581.76</v>
      </c>
      <c r="AL32" s="120">
        <v>19192.79</v>
      </c>
      <c r="AM32" s="120">
        <v>20762.080000000002</v>
      </c>
      <c r="AN32" s="120">
        <v>25035.79</v>
      </c>
      <c r="AO32" s="120">
        <v>28957.38</v>
      </c>
      <c r="AP32" s="120">
        <v>28228.86</v>
      </c>
      <c r="AQ32" s="120">
        <v>38247.31</v>
      </c>
      <c r="AR32" s="120">
        <v>37271.21</v>
      </c>
      <c r="AS32" s="120">
        <v>37280.67</v>
      </c>
      <c r="AT32" s="120">
        <v>38936.9</v>
      </c>
      <c r="AU32" s="124">
        <v>43265.13</v>
      </c>
      <c r="AV32" s="124">
        <v>47138.99</v>
      </c>
      <c r="AW32" s="124">
        <v>58614.63</v>
      </c>
    </row>
    <row r="33" spans="1:49" x14ac:dyDescent="0.15">
      <c r="B33" s="127">
        <v>43100</v>
      </c>
      <c r="C33" s="128">
        <v>8116088.7129816413</v>
      </c>
      <c r="D33" s="92">
        <v>3561269.3640009998</v>
      </c>
      <c r="E33" s="92">
        <v>407625391.79732001</v>
      </c>
      <c r="F33" s="92">
        <v>34675913.006734997</v>
      </c>
      <c r="G33" s="92">
        <v>26058258.185515799</v>
      </c>
      <c r="H33" s="90">
        <v>0.87366229770390225</v>
      </c>
      <c r="I33" s="92">
        <v>13.666567192048518</v>
      </c>
      <c r="J33" s="90">
        <v>2.8647278388361221</v>
      </c>
      <c r="K33" s="90">
        <v>44.812504327220829</v>
      </c>
      <c r="L33" s="92">
        <v>3543.5700436289999</v>
      </c>
      <c r="M33" s="92"/>
      <c r="O33" s="77">
        <v>17</v>
      </c>
      <c r="P33" s="77">
        <v>26.289110733000001</v>
      </c>
      <c r="Q33" s="90">
        <v>0.51669929235000822</v>
      </c>
      <c r="R33" s="135">
        <v>21</v>
      </c>
      <c r="Y33" s="121"/>
      <c r="Z33" s="122"/>
      <c r="AD33" s="119" t="s">
        <v>180</v>
      </c>
      <c r="AE33" s="95" t="s">
        <v>181</v>
      </c>
      <c r="AF33" s="119">
        <v>12</v>
      </c>
      <c r="AG33" s="130">
        <v>1297.01</v>
      </c>
      <c r="AH33" s="130">
        <v>717.01</v>
      </c>
      <c r="AI33" s="130">
        <v>1046.74</v>
      </c>
      <c r="AJ33" s="130">
        <v>1872.07</v>
      </c>
      <c r="AK33" s="130">
        <v>2604.4699999999998</v>
      </c>
      <c r="AL33" s="130">
        <v>2677.25</v>
      </c>
      <c r="AM33" s="130">
        <v>3498.14</v>
      </c>
      <c r="AN33" s="130">
        <v>5115.67</v>
      </c>
      <c r="AO33" s="130">
        <v>8453.2099999999991</v>
      </c>
      <c r="AP33" s="130">
        <v>8453.2099999999991</v>
      </c>
      <c r="AQ33" s="130">
        <v>17873.53</v>
      </c>
      <c r="AR33" s="130">
        <v>8620.3700000000008</v>
      </c>
      <c r="AS33" s="130">
        <v>8620.3700000000008</v>
      </c>
      <c r="AT33" s="130">
        <v>8620.3700000000008</v>
      </c>
      <c r="AU33" s="130">
        <v>8621.52</v>
      </c>
      <c r="AV33" s="124">
        <v>9026.74</v>
      </c>
      <c r="AW33" s="124">
        <v>14241.23</v>
      </c>
    </row>
    <row r="34" spans="1:49" x14ac:dyDescent="0.15">
      <c r="B34" s="127">
        <v>43465</v>
      </c>
      <c r="C34" s="128">
        <v>8162125.4036142854</v>
      </c>
      <c r="D34" s="92">
        <v>4684627.1879989998</v>
      </c>
      <c r="E34" s="92">
        <v>337230093.05320102</v>
      </c>
      <c r="F34" s="92">
        <v>34074921.807663001</v>
      </c>
      <c r="G34" s="92">
        <v>27373499.654208899</v>
      </c>
      <c r="H34" s="90">
        <v>1.3891486212234203</v>
      </c>
      <c r="I34" s="92">
        <v>17.113731335696055</v>
      </c>
      <c r="J34" s="90">
        <v>3.8094917554070706</v>
      </c>
      <c r="K34" s="90">
        <v>46.931348763942182</v>
      </c>
      <c r="L34" s="92">
        <v>5522.5103963137999</v>
      </c>
      <c r="M34" s="92"/>
      <c r="O34" s="77">
        <v>18</v>
      </c>
      <c r="P34" s="77">
        <v>21.266129987500001</v>
      </c>
      <c r="Q34" s="90">
        <v>1.3441070673500022</v>
      </c>
      <c r="R34" s="135">
        <v>19</v>
      </c>
      <c r="Y34" s="121"/>
      <c r="Z34" s="122"/>
    </row>
    <row r="35" spans="1:49" x14ac:dyDescent="0.15">
      <c r="B35" s="127">
        <v>43830</v>
      </c>
      <c r="C35" s="128">
        <v>10411563.974836161</v>
      </c>
      <c r="D35" s="92">
        <v>8524357.3333330005</v>
      </c>
      <c r="E35" s="92">
        <v>396417630.81914002</v>
      </c>
      <c r="F35" s="92">
        <v>30346492.771657001</v>
      </c>
      <c r="G35" s="92">
        <v>24059350.5017124</v>
      </c>
      <c r="H35" s="90">
        <v>2.1503476814889999</v>
      </c>
      <c r="I35" s="92">
        <v>35.43053804684498</v>
      </c>
      <c r="J35" s="90">
        <v>4.7767606271801801</v>
      </c>
      <c r="K35" s="90">
        <v>78.705039468215972</v>
      </c>
      <c r="L35" s="92">
        <v>3867.4527500160002</v>
      </c>
      <c r="M35" s="92"/>
      <c r="O35" s="77">
        <v>19</v>
      </c>
      <c r="P35" s="77">
        <v>0</v>
      </c>
      <c r="Q35" s="90">
        <v>0.65601038239999998</v>
      </c>
      <c r="R35" s="135">
        <v>6</v>
      </c>
      <c r="Y35" s="121"/>
      <c r="Z35" s="122"/>
      <c r="AF35" s="77" t="s">
        <v>217</v>
      </c>
      <c r="AG35" s="131">
        <v>14.36408</v>
      </c>
      <c r="AH35" s="131">
        <v>14.016770000000001</v>
      </c>
      <c r="AI35" s="131">
        <v>12.202299999999999</v>
      </c>
      <c r="AJ35" s="131">
        <v>11.73812</v>
      </c>
      <c r="AK35" s="131">
        <v>14.581760000000001</v>
      </c>
      <c r="AL35" s="131">
        <v>19.192790000000002</v>
      </c>
      <c r="AM35" s="131">
        <v>20.762080000000001</v>
      </c>
      <c r="AN35" s="131">
        <v>25.035790000000002</v>
      </c>
      <c r="AO35" s="131">
        <v>28.957380000000001</v>
      </c>
      <c r="AP35" s="131">
        <v>28.228860000000001</v>
      </c>
      <c r="AQ35" s="131">
        <v>38.247309999999999</v>
      </c>
      <c r="AR35" s="131">
        <v>37.271209999999996</v>
      </c>
      <c r="AS35" s="131">
        <v>37.280670000000001</v>
      </c>
      <c r="AT35" s="131">
        <v>38.936900000000001</v>
      </c>
      <c r="AU35" s="131">
        <v>43.265129999999999</v>
      </c>
      <c r="AV35" s="131">
        <v>47.13899</v>
      </c>
      <c r="AW35" s="131">
        <v>58.614629999999998</v>
      </c>
    </row>
    <row r="36" spans="1:49" x14ac:dyDescent="0.15">
      <c r="B36" s="127">
        <v>44196</v>
      </c>
      <c r="C36" s="128">
        <v>8310049.9223167542</v>
      </c>
      <c r="D36" s="92">
        <v>4031946.1685000001</v>
      </c>
      <c r="E36" s="92">
        <v>413779349.79517502</v>
      </c>
      <c r="F36" s="92">
        <v>19063005.410831001</v>
      </c>
      <c r="G36" s="92">
        <v>18212864.467829101</v>
      </c>
      <c r="H36" s="90">
        <v>0.97441937846725668</v>
      </c>
      <c r="I36" s="92">
        <v>22.137902445943975</v>
      </c>
      <c r="J36" s="90">
        <v>2.9827481958503168</v>
      </c>
      <c r="K36" s="90">
        <v>67.765266208494822</v>
      </c>
      <c r="L36" s="92">
        <v>5176.2247740479379</v>
      </c>
      <c r="M36" s="92"/>
      <c r="O36" s="77">
        <v>20</v>
      </c>
      <c r="P36" s="77">
        <v>0</v>
      </c>
      <c r="Q36" s="90">
        <v>1.1709390756949998</v>
      </c>
      <c r="R36" s="135">
        <v>28</v>
      </c>
      <c r="Y36" s="121"/>
      <c r="Z36" s="122"/>
      <c r="AF36" s="77" t="s">
        <v>134</v>
      </c>
      <c r="AG36" s="131">
        <v>1.29701</v>
      </c>
      <c r="AH36" s="131">
        <v>0.71701000000000004</v>
      </c>
      <c r="AI36" s="131">
        <v>1.04674</v>
      </c>
      <c r="AJ36" s="131">
        <v>1.8720699999999999</v>
      </c>
      <c r="AK36" s="131">
        <v>2.6044699999999996</v>
      </c>
      <c r="AL36" s="131">
        <v>2.6772499999999999</v>
      </c>
      <c r="AM36" s="131">
        <v>3.4981399999999998</v>
      </c>
      <c r="AN36" s="131">
        <v>5.1156699999999997</v>
      </c>
      <c r="AO36" s="131">
        <v>8.4532099999999986</v>
      </c>
      <c r="AP36" s="131">
        <v>8.4532099999999986</v>
      </c>
      <c r="AQ36" s="131">
        <v>17.873529999999999</v>
      </c>
      <c r="AR36" s="131">
        <v>8.6203700000000012</v>
      </c>
      <c r="AS36" s="131">
        <v>8.6203700000000012</v>
      </c>
      <c r="AT36" s="131">
        <v>8.6203700000000012</v>
      </c>
      <c r="AU36" s="131">
        <v>8.6215200000000003</v>
      </c>
      <c r="AV36" s="131">
        <v>9.0267400000000002</v>
      </c>
      <c r="AW36" s="131">
        <v>14.24123</v>
      </c>
    </row>
    <row r="37" spans="1:49" x14ac:dyDescent="0.15">
      <c r="B37" s="127">
        <v>44561</v>
      </c>
      <c r="C37" s="128">
        <v>10312765.712810365</v>
      </c>
      <c r="D37" s="92">
        <v>5339678.236335</v>
      </c>
      <c r="E37" s="92">
        <v>448116222.47402698</v>
      </c>
      <c r="F37" s="92">
        <v>38168578.68603</v>
      </c>
      <c r="G37" s="92">
        <v>27082141.610810298</v>
      </c>
      <c r="H37" s="90">
        <v>1.1915833367635984</v>
      </c>
      <c r="I37" s="92">
        <v>19.716602597645291</v>
      </c>
      <c r="J37" s="90">
        <v>3.492942938492388</v>
      </c>
      <c r="K37" s="90">
        <v>57.796182348065948</v>
      </c>
      <c r="L37" s="92">
        <v>8418.3543673910008</v>
      </c>
      <c r="M37" s="92"/>
      <c r="O37" s="77">
        <v>21</v>
      </c>
      <c r="P37" s="77">
        <v>0</v>
      </c>
      <c r="Q37" s="90">
        <v>3.1523917470499998</v>
      </c>
      <c r="R37" s="135">
        <v>13</v>
      </c>
      <c r="Y37" s="121"/>
      <c r="Z37" s="122"/>
      <c r="AF37" s="77" t="s">
        <v>218</v>
      </c>
      <c r="AG37" s="131">
        <v>13.067069999999999</v>
      </c>
      <c r="AH37" s="131">
        <v>13.299760000000001</v>
      </c>
      <c r="AI37" s="131">
        <v>11.155559999999999</v>
      </c>
      <c r="AJ37" s="131">
        <v>9.8660500000000013</v>
      </c>
      <c r="AK37" s="131">
        <v>11.977290000000002</v>
      </c>
      <c r="AL37" s="131">
        <v>16.515540000000001</v>
      </c>
      <c r="AM37" s="131">
        <v>17.263940000000002</v>
      </c>
      <c r="AN37" s="131">
        <v>19.920120000000004</v>
      </c>
      <c r="AO37" s="131">
        <v>20.504170000000002</v>
      </c>
      <c r="AP37" s="131">
        <v>19.775650000000002</v>
      </c>
      <c r="AQ37" s="131">
        <v>20.37378</v>
      </c>
      <c r="AR37" s="131">
        <v>28.650839999999995</v>
      </c>
      <c r="AS37" s="131">
        <v>28.660299999999999</v>
      </c>
      <c r="AT37" s="131">
        <v>30.31653</v>
      </c>
      <c r="AU37" s="131">
        <v>34.643609999999995</v>
      </c>
      <c r="AV37" s="131">
        <v>38.112250000000003</v>
      </c>
      <c r="AW37" s="131">
        <v>44.373399999999997</v>
      </c>
    </row>
    <row r="38" spans="1:49" x14ac:dyDescent="0.15">
      <c r="B38" s="127">
        <v>44926</v>
      </c>
      <c r="C38" s="128">
        <v>10447522.808273422</v>
      </c>
      <c r="D38" s="92">
        <v>8138021.1839159997</v>
      </c>
      <c r="E38" s="92">
        <v>412298432.98677301</v>
      </c>
      <c r="F38" s="92">
        <v>34965518.094663002</v>
      </c>
      <c r="G38" s="92">
        <v>30652918.093180101</v>
      </c>
      <c r="H38" s="90">
        <v>1.9738181212483714</v>
      </c>
      <c r="I38" s="92">
        <v>26.548928096103875</v>
      </c>
      <c r="J38" s="90">
        <v>4.5077891413634514</v>
      </c>
      <c r="K38" s="90">
        <v>60.632217577759683</v>
      </c>
      <c r="O38" s="77">
        <v>22</v>
      </c>
      <c r="P38" s="77">
        <v>0</v>
      </c>
      <c r="Q38" s="90">
        <v>2.7305015256500003</v>
      </c>
      <c r="R38" s="135">
        <v>29</v>
      </c>
      <c r="Y38" s="121"/>
      <c r="Z38" s="122"/>
      <c r="AF38" s="77" t="s">
        <v>219</v>
      </c>
      <c r="AG38" s="131">
        <v>19.22</v>
      </c>
      <c r="AH38" s="131">
        <v>17.23</v>
      </c>
      <c r="AI38" s="131">
        <v>15.65</v>
      </c>
      <c r="AJ38" s="131">
        <v>18.64</v>
      </c>
      <c r="AK38" s="131">
        <v>20.64</v>
      </c>
      <c r="AL38" s="131">
        <v>22.63</v>
      </c>
      <c r="AM38" s="131">
        <v>22.91</v>
      </c>
      <c r="AN38" s="131">
        <v>18.55</v>
      </c>
      <c r="AO38" s="131">
        <v>23.69</v>
      </c>
      <c r="AP38" s="131">
        <v>42.39</v>
      </c>
      <c r="AQ38" s="131">
        <v>48.91</v>
      </c>
      <c r="AR38" s="131">
        <v>20.72</v>
      </c>
      <c r="AS38" s="131">
        <v>24.66</v>
      </c>
      <c r="AT38" s="131">
        <v>38.96</v>
      </c>
      <c r="AU38" s="131">
        <v>27.13</v>
      </c>
      <c r="AV38" s="131">
        <v>0</v>
      </c>
      <c r="AW38" s="131">
        <v>0</v>
      </c>
    </row>
    <row r="39" spans="1:49" x14ac:dyDescent="0.15">
      <c r="A39" s="77">
        <v>7.3039141046669993</v>
      </c>
      <c r="B39" s="127">
        <v>45291</v>
      </c>
      <c r="C39" s="128">
        <v>10374152.159970544</v>
      </c>
      <c r="D39" s="92">
        <v>7303914.1046669995</v>
      </c>
      <c r="E39" s="92">
        <v>512211645.43020898</v>
      </c>
      <c r="F39" s="92">
        <v>43183034.483998001</v>
      </c>
      <c r="G39" s="92">
        <v>32302361.683848798</v>
      </c>
      <c r="H39" s="90">
        <v>1.4259562760492115</v>
      </c>
      <c r="I39" s="92">
        <v>22.611083908205266</v>
      </c>
      <c r="J39" s="90">
        <v>3.4513206449630123</v>
      </c>
      <c r="K39" s="90">
        <v>54.726853837057334</v>
      </c>
      <c r="O39" s="77">
        <v>23</v>
      </c>
      <c r="P39" s="77">
        <v>0</v>
      </c>
      <c r="Q39" s="90">
        <v>4.3384254592289997</v>
      </c>
      <c r="R39" s="135">
        <v>59</v>
      </c>
      <c r="Y39" s="121"/>
      <c r="Z39" s="122"/>
    </row>
    <row r="40" spans="1:49" x14ac:dyDescent="0.15">
      <c r="O40" s="77">
        <v>24</v>
      </c>
      <c r="P40" s="77">
        <v>0</v>
      </c>
      <c r="Q40" s="90">
        <v>12.343087856494998</v>
      </c>
      <c r="R40" s="135">
        <v>96</v>
      </c>
      <c r="Y40" s="121"/>
      <c r="Z40" s="122"/>
    </row>
    <row r="41" spans="1:49" x14ac:dyDescent="0.15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77">
        <v>25</v>
      </c>
      <c r="P41" s="77">
        <v>2.9434896636000003</v>
      </c>
      <c r="Q41" s="90">
        <v>19.692836467096004</v>
      </c>
      <c r="R41" s="135">
        <v>150</v>
      </c>
      <c r="Y41" s="121"/>
      <c r="Z41" s="122"/>
    </row>
    <row r="42" spans="1:49" x14ac:dyDescent="0.15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77">
        <v>26.03</v>
      </c>
      <c r="P42" s="77">
        <v>0</v>
      </c>
      <c r="Q42" s="90">
        <v>7.7819589019120006</v>
      </c>
      <c r="R42" s="135">
        <v>47</v>
      </c>
      <c r="Y42" s="121"/>
      <c r="Z42" s="122"/>
      <c r="AF42" s="77" t="s">
        <v>220</v>
      </c>
      <c r="AG42" s="77">
        <v>18.235412481234984</v>
      </c>
      <c r="AH42" s="77">
        <v>16.311024941952766</v>
      </c>
      <c r="AI42" s="77">
        <v>14.912772447466521</v>
      </c>
      <c r="AJ42" s="77">
        <v>17.615002822753585</v>
      </c>
      <c r="AK42" s="77">
        <v>19.375542379946264</v>
      </c>
      <c r="AL42" s="77">
        <v>21.480624752446328</v>
      </c>
      <c r="AM42" s="77">
        <v>21.757795028569443</v>
      </c>
      <c r="AN42" s="77">
        <v>17.564004517177704</v>
      </c>
      <c r="AO42" s="77">
        <v>22.252954297010834</v>
      </c>
      <c r="AP42" s="77">
        <v>39.723206860304607</v>
      </c>
      <c r="AQ42" s="77">
        <v>45.165829888679944</v>
      </c>
      <c r="AR42" s="77">
        <v>19.587541907938075</v>
      </c>
      <c r="AS42" s="77">
        <v>23.351489917918606</v>
      </c>
      <c r="AT42" s="77">
        <v>36.818196861599276</v>
      </c>
      <c r="AU42" s="77">
        <v>25.749163608497717</v>
      </c>
      <c r="AV42" s="77">
        <v>21.742747618947462</v>
      </c>
    </row>
    <row r="43" spans="1:49" x14ac:dyDescent="0.15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Y43" s="121"/>
      <c r="Z43" s="122"/>
      <c r="AG43" s="77">
        <v>25.027240406946841</v>
      </c>
    </row>
    <row r="44" spans="1:49" x14ac:dyDescent="0.15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Y44" s="121"/>
      <c r="Z44" s="122"/>
    </row>
    <row r="45" spans="1:49" x14ac:dyDescent="0.15"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Y45" s="121"/>
      <c r="Z45" s="122"/>
    </row>
    <row r="46" spans="1:49" x14ac:dyDescent="0.15"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Y46" s="121"/>
      <c r="Z46" s="122"/>
    </row>
    <row r="47" spans="1:49" x14ac:dyDescent="0.15"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Y47" s="121"/>
      <c r="Z47" s="122"/>
      <c r="AD47" s="79" t="s">
        <v>18</v>
      </c>
      <c r="AE47" s="77" t="s">
        <v>221</v>
      </c>
    </row>
    <row r="48" spans="1:49" x14ac:dyDescent="0.15"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Y48" s="121"/>
      <c r="Z48" s="122"/>
    </row>
    <row r="49" spans="2:49" x14ac:dyDescent="0.15"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Y49" s="121"/>
      <c r="Z49" s="122"/>
      <c r="AD49" s="88" t="s">
        <v>138</v>
      </c>
    </row>
    <row r="50" spans="2:49" x14ac:dyDescent="0.15"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Y50" s="121"/>
      <c r="Z50" s="122"/>
      <c r="AD50" s="94" t="s">
        <v>107</v>
      </c>
      <c r="AE50" s="94" t="s">
        <v>108</v>
      </c>
      <c r="AF50" s="94" t="s">
        <v>32</v>
      </c>
    </row>
    <row r="51" spans="2:49" x14ac:dyDescent="0.15"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Y51" s="121"/>
      <c r="Z51" s="122"/>
      <c r="AD51" s="95"/>
      <c r="AE51" s="95"/>
      <c r="AF51" s="95"/>
    </row>
    <row r="52" spans="2:49" x14ac:dyDescent="0.15"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Y52" s="121"/>
      <c r="Z52" s="122"/>
      <c r="AD52" s="95"/>
      <c r="AE52" s="95"/>
      <c r="AF52" s="95"/>
    </row>
    <row r="53" spans="2:49" x14ac:dyDescent="0.15"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Y53" s="121"/>
      <c r="Z53" s="122"/>
      <c r="AD53" s="97"/>
      <c r="AE53" s="97"/>
      <c r="AF53" s="97"/>
    </row>
    <row r="54" spans="2:49" x14ac:dyDescent="0.15"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Y54" s="121"/>
      <c r="Z54" s="122"/>
      <c r="AG54" s="77">
        <v>2010</v>
      </c>
      <c r="AH54" s="77">
        <v>2011</v>
      </c>
      <c r="AI54" s="77">
        <v>2012</v>
      </c>
      <c r="AJ54" s="77">
        <v>2013</v>
      </c>
      <c r="AK54" s="77">
        <v>2014</v>
      </c>
      <c r="AL54" s="77">
        <v>2015</v>
      </c>
      <c r="AM54" s="77">
        <v>2016</v>
      </c>
      <c r="AN54" s="77">
        <v>2017</v>
      </c>
      <c r="AO54" s="77">
        <v>2018</v>
      </c>
      <c r="AP54" s="77">
        <v>2019</v>
      </c>
      <c r="AQ54" s="77">
        <v>2020</v>
      </c>
      <c r="AR54" s="77">
        <v>2021</v>
      </c>
      <c r="AS54" s="77">
        <v>2022</v>
      </c>
      <c r="AT54" s="77">
        <v>2023</v>
      </c>
      <c r="AU54" s="77">
        <v>2024</v>
      </c>
      <c r="AV54" s="77">
        <v>2025</v>
      </c>
      <c r="AW54" s="77">
        <v>2026</v>
      </c>
    </row>
    <row r="55" spans="2:49" x14ac:dyDescent="0.15"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Y55" s="121"/>
      <c r="Z55" s="122"/>
      <c r="AD55" s="94"/>
      <c r="AE55" s="94" t="s">
        <v>148</v>
      </c>
      <c r="AF55" s="94" t="s">
        <v>110</v>
      </c>
      <c r="AG55" s="94" t="s">
        <v>222</v>
      </c>
      <c r="AH55" s="94" t="s">
        <v>222</v>
      </c>
      <c r="AI55" s="94" t="s">
        <v>222</v>
      </c>
      <c r="AJ55" s="94" t="s">
        <v>222</v>
      </c>
      <c r="AK55" s="94" t="s">
        <v>222</v>
      </c>
      <c r="AL55" s="94" t="s">
        <v>222</v>
      </c>
      <c r="AM55" s="94" t="s">
        <v>222</v>
      </c>
      <c r="AN55" s="94" t="s">
        <v>222</v>
      </c>
      <c r="AO55" s="94" t="s">
        <v>222</v>
      </c>
      <c r="AP55" s="94" t="s">
        <v>222</v>
      </c>
      <c r="AQ55" s="94" t="s">
        <v>222</v>
      </c>
      <c r="AR55" s="94" t="s">
        <v>222</v>
      </c>
      <c r="AS55" s="94" t="s">
        <v>222</v>
      </c>
      <c r="AT55" s="94" t="s">
        <v>222</v>
      </c>
      <c r="AU55" s="94" t="s">
        <v>222</v>
      </c>
      <c r="AV55" s="94" t="s">
        <v>222</v>
      </c>
      <c r="AW55" s="94" t="s">
        <v>223</v>
      </c>
    </row>
    <row r="56" spans="2:49" x14ac:dyDescent="0.15"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Y56" s="121"/>
      <c r="Z56" s="122"/>
      <c r="AD56" s="109"/>
      <c r="AE56" s="109" t="s">
        <v>155</v>
      </c>
      <c r="AF56" s="109"/>
      <c r="AG56" s="109" t="s">
        <v>156</v>
      </c>
      <c r="AH56" s="109" t="s">
        <v>157</v>
      </c>
      <c r="AI56" s="109" t="s">
        <v>158</v>
      </c>
      <c r="AJ56" s="109" t="s">
        <v>159</v>
      </c>
      <c r="AK56" s="109" t="s">
        <v>160</v>
      </c>
      <c r="AL56" s="109" t="s">
        <v>161</v>
      </c>
      <c r="AM56" s="109" t="s">
        <v>162</v>
      </c>
      <c r="AN56" s="109" t="s">
        <v>163</v>
      </c>
      <c r="AO56" s="109" t="s">
        <v>164</v>
      </c>
      <c r="AP56" s="109" t="s">
        <v>165</v>
      </c>
      <c r="AQ56" s="109" t="s">
        <v>166</v>
      </c>
      <c r="AR56" s="109" t="s">
        <v>167</v>
      </c>
      <c r="AS56" s="109" t="s">
        <v>168</v>
      </c>
      <c r="AT56" s="109" t="s">
        <v>169</v>
      </c>
      <c r="AU56" s="109" t="s">
        <v>170</v>
      </c>
      <c r="AV56" s="109" t="s">
        <v>171</v>
      </c>
      <c r="AW56" s="109" t="s">
        <v>12</v>
      </c>
    </row>
    <row r="57" spans="2:49" x14ac:dyDescent="0.15"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Y57" s="121"/>
      <c r="Z57" s="122"/>
      <c r="AD57" s="109"/>
      <c r="AE57" s="109" t="s">
        <v>172</v>
      </c>
      <c r="AF57" s="109" t="s">
        <v>113</v>
      </c>
      <c r="AG57" s="109" t="s">
        <v>61</v>
      </c>
      <c r="AH57" s="109" t="s">
        <v>173</v>
      </c>
      <c r="AI57" s="109" t="s">
        <v>173</v>
      </c>
      <c r="AJ57" s="109" t="s">
        <v>173</v>
      </c>
      <c r="AK57" s="109" t="s">
        <v>173</v>
      </c>
      <c r="AL57" s="109" t="s">
        <v>173</v>
      </c>
      <c r="AM57" s="109" t="s">
        <v>173</v>
      </c>
      <c r="AN57" s="109" t="s">
        <v>173</v>
      </c>
      <c r="AO57" s="109" t="s">
        <v>173</v>
      </c>
      <c r="AP57" s="109" t="s">
        <v>173</v>
      </c>
      <c r="AQ57" s="109" t="s">
        <v>173</v>
      </c>
      <c r="AR57" s="109" t="s">
        <v>173</v>
      </c>
      <c r="AS57" s="109" t="s">
        <v>173</v>
      </c>
      <c r="AT57" s="109" t="s">
        <v>173</v>
      </c>
      <c r="AU57" s="109" t="s">
        <v>173</v>
      </c>
      <c r="AV57" s="109" t="s">
        <v>173</v>
      </c>
      <c r="AW57" s="109" t="s">
        <v>173</v>
      </c>
    </row>
    <row r="58" spans="2:49" x14ac:dyDescent="0.15"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Y58" s="121"/>
      <c r="Z58" s="122"/>
      <c r="AD58" s="114"/>
      <c r="AE58" s="114" t="s">
        <v>174</v>
      </c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</row>
    <row r="59" spans="2:49" x14ac:dyDescent="0.15"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Y59" s="121"/>
      <c r="Z59" s="122"/>
      <c r="AD59" s="116" t="s">
        <v>141</v>
      </c>
      <c r="AE59" s="117" t="s">
        <v>146</v>
      </c>
      <c r="AF59" s="117" t="s">
        <v>175</v>
      </c>
      <c r="AG59" s="117" t="s">
        <v>224</v>
      </c>
      <c r="AH59" s="117" t="s">
        <v>224</v>
      </c>
      <c r="AI59" s="117" t="s">
        <v>224</v>
      </c>
      <c r="AJ59" s="117" t="s">
        <v>224</v>
      </c>
      <c r="AK59" s="117" t="s">
        <v>224</v>
      </c>
      <c r="AL59" s="117" t="s">
        <v>224</v>
      </c>
      <c r="AM59" s="117" t="s">
        <v>224</v>
      </c>
      <c r="AN59" s="117" t="s">
        <v>224</v>
      </c>
      <c r="AO59" s="117" t="s">
        <v>224</v>
      </c>
      <c r="AP59" s="117" t="s">
        <v>224</v>
      </c>
      <c r="AQ59" s="117" t="s">
        <v>224</v>
      </c>
      <c r="AR59" s="117" t="s">
        <v>224</v>
      </c>
      <c r="AS59" s="117" t="s">
        <v>224</v>
      </c>
      <c r="AT59" s="117" t="s">
        <v>224</v>
      </c>
      <c r="AU59" s="117" t="s">
        <v>224</v>
      </c>
      <c r="AV59" s="117" t="s">
        <v>224</v>
      </c>
      <c r="AW59" s="117" t="s">
        <v>225</v>
      </c>
    </row>
    <row r="60" spans="2:49" x14ac:dyDescent="0.15"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Y60" s="121"/>
      <c r="Z60" s="122"/>
      <c r="AD60" s="119" t="s">
        <v>142</v>
      </c>
      <c r="AE60" s="95" t="s">
        <v>147</v>
      </c>
      <c r="AF60" s="119"/>
      <c r="AG60" s="133">
        <v>19.22</v>
      </c>
      <c r="AH60" s="133">
        <v>17.23</v>
      </c>
      <c r="AI60" s="133">
        <v>15.65</v>
      </c>
      <c r="AJ60" s="133">
        <v>18.64</v>
      </c>
      <c r="AK60" s="133">
        <v>20.64</v>
      </c>
      <c r="AL60" s="133">
        <v>22.63</v>
      </c>
      <c r="AM60" s="133">
        <v>22.91</v>
      </c>
      <c r="AN60" s="133">
        <v>18.55</v>
      </c>
      <c r="AO60" s="133">
        <v>23.69</v>
      </c>
      <c r="AP60" s="133">
        <v>42.39</v>
      </c>
      <c r="AQ60" s="133">
        <v>48.91</v>
      </c>
      <c r="AR60" s="133">
        <v>20.72</v>
      </c>
      <c r="AS60" s="133">
        <v>24.66</v>
      </c>
      <c r="AT60" s="133">
        <v>38.96</v>
      </c>
      <c r="AU60" s="134">
        <v>27.13</v>
      </c>
      <c r="AV60" s="124"/>
      <c r="AW60" s="124"/>
    </row>
    <row r="61" spans="2:49" x14ac:dyDescent="0.15"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Y61" s="121"/>
      <c r="Z61" s="122"/>
      <c r="AD61" s="119" t="s">
        <v>180</v>
      </c>
      <c r="AE61" s="95" t="s">
        <v>181</v>
      </c>
      <c r="AF61" s="119">
        <v>12</v>
      </c>
      <c r="AG61" s="134">
        <v>9.4700000000000006</v>
      </c>
      <c r="AH61" s="134">
        <v>6.18</v>
      </c>
      <c r="AI61" s="134">
        <v>5.2</v>
      </c>
      <c r="AJ61" s="134">
        <v>7.23</v>
      </c>
      <c r="AK61" s="134">
        <v>13</v>
      </c>
      <c r="AL61" s="134">
        <v>16.420000000000002</v>
      </c>
      <c r="AM61" s="134">
        <v>17.809999999999999</v>
      </c>
      <c r="AN61" s="134">
        <v>14.09</v>
      </c>
      <c r="AO61" s="134">
        <v>21.92</v>
      </c>
      <c r="AP61" s="134">
        <v>44.73</v>
      </c>
      <c r="AQ61" s="134">
        <v>77.95</v>
      </c>
      <c r="AR61" s="134">
        <v>25</v>
      </c>
      <c r="AS61" s="134">
        <v>17.920000000000002</v>
      </c>
      <c r="AT61" s="134">
        <v>67.78</v>
      </c>
      <c r="AU61" s="134">
        <v>29.18</v>
      </c>
      <c r="AV61" s="77">
        <v>25.1</v>
      </c>
    </row>
    <row r="62" spans="2:49" x14ac:dyDescent="0.15"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Y62" s="121"/>
      <c r="Z62" s="122"/>
    </row>
    <row r="63" spans="2:49" x14ac:dyDescent="0.15"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Y63" s="121"/>
      <c r="Z63" s="12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</row>
    <row r="64" spans="2:49" x14ac:dyDescent="0.15"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Y64" s="121"/>
      <c r="Z64" s="12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</row>
    <row r="65" spans="2:44" x14ac:dyDescent="0.15"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Y65" s="121"/>
      <c r="Z65" s="12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</row>
    <row r="66" spans="2:44" x14ac:dyDescent="0.15"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Y66" s="121"/>
      <c r="Z66" s="12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</row>
    <row r="67" spans="2:44" x14ac:dyDescent="0.15"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Y67" s="121"/>
      <c r="Z67" s="12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</row>
    <row r="68" spans="2:44" x14ac:dyDescent="0.15"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Y68" s="121"/>
      <c r="Z68" s="12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</row>
    <row r="69" spans="2:44" x14ac:dyDescent="0.15">
      <c r="B69" s="132"/>
      <c r="C69" s="76" t="s">
        <v>117</v>
      </c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Y69" s="121"/>
      <c r="Z69" s="12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</row>
    <row r="70" spans="2:44" x14ac:dyDescent="0.15"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Y70" s="121"/>
      <c r="Z70" s="12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</row>
    <row r="71" spans="2:44" x14ac:dyDescent="0.15"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Y71" s="121"/>
      <c r="Z71" s="12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</row>
    <row r="72" spans="2:44" x14ac:dyDescent="0.15">
      <c r="Y72" s="121"/>
      <c r="Z72" s="12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</row>
    <row r="73" spans="2:44" x14ac:dyDescent="0.15">
      <c r="Y73" s="121"/>
      <c r="Z73" s="12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</row>
    <row r="74" spans="2:44" x14ac:dyDescent="0.15">
      <c r="Y74" s="121"/>
      <c r="Z74" s="12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</row>
    <row r="75" spans="2:44" x14ac:dyDescent="0.15">
      <c r="C75" s="90"/>
      <c r="D75" s="92"/>
      <c r="E75" s="131"/>
      <c r="F75" s="112"/>
      <c r="G75" s="112"/>
      <c r="H75" s="112"/>
      <c r="I75" s="112"/>
      <c r="Y75" s="121"/>
      <c r="Z75" s="12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</row>
    <row r="76" spans="2:44" x14ac:dyDescent="0.15">
      <c r="C76" s="77" t="s">
        <v>226</v>
      </c>
      <c r="D76" s="77" t="s">
        <v>227</v>
      </c>
      <c r="E76" s="77" t="s">
        <v>228</v>
      </c>
      <c r="F76" s="112"/>
      <c r="G76" s="112"/>
      <c r="H76" s="112"/>
      <c r="I76" s="112"/>
      <c r="Y76" s="121"/>
      <c r="Z76" s="12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</row>
    <row r="77" spans="2:44" x14ac:dyDescent="0.15">
      <c r="B77" s="77">
        <v>12</v>
      </c>
      <c r="C77" s="92">
        <v>13.797507180515</v>
      </c>
      <c r="D77" s="92">
        <v>1124.35833</v>
      </c>
      <c r="E77" s="131">
        <v>1.2271450135042801</v>
      </c>
      <c r="F77" s="112"/>
      <c r="G77" s="112"/>
      <c r="H77" s="112"/>
      <c r="I77" s="112"/>
      <c r="Y77" s="121"/>
      <c r="Z77" s="12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</row>
    <row r="78" spans="2:44" x14ac:dyDescent="0.15">
      <c r="B78" s="77">
        <v>13</v>
      </c>
      <c r="C78" s="92">
        <v>13.184070572606</v>
      </c>
      <c r="D78" s="92">
        <v>1147.5746399999998</v>
      </c>
      <c r="E78" s="131">
        <v>1.1488638832769955</v>
      </c>
      <c r="F78" s="112"/>
      <c r="G78" s="112"/>
      <c r="H78" s="112"/>
      <c r="I78" s="112"/>
      <c r="Y78" s="121"/>
      <c r="Z78" s="12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</row>
    <row r="79" spans="2:44" x14ac:dyDescent="0.15">
      <c r="B79" s="77">
        <v>14</v>
      </c>
      <c r="C79" s="92">
        <v>17.809393154378</v>
      </c>
      <c r="D79" s="92">
        <v>1151.6865500000001</v>
      </c>
      <c r="E79" s="131">
        <v>1.5463750231673712</v>
      </c>
      <c r="F79" s="112"/>
      <c r="G79" s="112"/>
      <c r="H79" s="112"/>
      <c r="I79" s="112"/>
      <c r="Y79" s="121"/>
      <c r="Z79" s="12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</row>
    <row r="80" spans="2:44" x14ac:dyDescent="0.15">
      <c r="B80" s="77">
        <v>15</v>
      </c>
      <c r="C80" s="92">
        <v>29.868001055713002</v>
      </c>
      <c r="D80" s="92">
        <v>1199.5213000000001</v>
      </c>
      <c r="E80" s="131">
        <v>2.4899933878383815</v>
      </c>
      <c r="F80" s="112"/>
      <c r="G80" s="112"/>
      <c r="H80" s="112"/>
      <c r="I80" s="112"/>
      <c r="Y80" s="121"/>
      <c r="Z80" s="122"/>
    </row>
    <row r="81" spans="2:26" x14ac:dyDescent="0.15">
      <c r="B81" s="77">
        <v>16</v>
      </c>
      <c r="C81" s="92">
        <v>29.363825107472998</v>
      </c>
      <c r="D81" s="92">
        <v>1262.0771999999999</v>
      </c>
      <c r="E81" s="131">
        <v>2.3266266998146388</v>
      </c>
      <c r="F81" s="112"/>
      <c r="G81" s="112"/>
      <c r="H81" s="112"/>
      <c r="I81" s="112"/>
      <c r="Y81" s="121"/>
      <c r="Z81" s="122"/>
    </row>
    <row r="82" spans="2:26" x14ac:dyDescent="0.15">
      <c r="B82" s="77">
        <v>17</v>
      </c>
      <c r="C82" s="92">
        <v>32.685981439184999</v>
      </c>
      <c r="D82" s="92">
        <v>1549.06548</v>
      </c>
      <c r="E82" s="131">
        <v>2.1100451763462575</v>
      </c>
      <c r="F82" s="112"/>
      <c r="G82" s="112"/>
      <c r="H82" s="112"/>
      <c r="I82" s="112"/>
      <c r="Y82" s="121"/>
      <c r="Z82" s="122"/>
    </row>
    <row r="83" spans="2:26" x14ac:dyDescent="0.15">
      <c r="B83" s="77">
        <v>18</v>
      </c>
      <c r="C83" s="92">
        <v>33.915287243072001</v>
      </c>
      <c r="D83" s="92">
        <v>1302.8682699999999</v>
      </c>
      <c r="E83" s="131">
        <v>2.6031248149954562</v>
      </c>
      <c r="F83" s="112"/>
      <c r="G83" s="112"/>
      <c r="H83" s="112"/>
      <c r="I83" s="112"/>
      <c r="Y83" s="121"/>
      <c r="Z83" s="122"/>
    </row>
    <row r="84" spans="2:26" x14ac:dyDescent="0.15">
      <c r="B84" s="77">
        <v>19</v>
      </c>
      <c r="C84" s="92">
        <v>30.826930708384001</v>
      </c>
      <c r="D84" s="92">
        <v>1422.51351</v>
      </c>
      <c r="E84" s="131">
        <v>2.1670747231345455</v>
      </c>
      <c r="F84" s="112"/>
      <c r="G84" s="112"/>
      <c r="H84" s="112"/>
      <c r="I84" s="112"/>
      <c r="Y84" s="121"/>
      <c r="Z84" s="122"/>
    </row>
    <row r="85" spans="2:26" x14ac:dyDescent="0.15">
      <c r="B85" s="77">
        <v>20</v>
      </c>
      <c r="C85" s="92">
        <v>41.131639303747001</v>
      </c>
      <c r="D85" s="92">
        <v>1899.4944699999999</v>
      </c>
      <c r="E85" s="131">
        <v>2.1653992656133925</v>
      </c>
      <c r="F85" s="112"/>
      <c r="G85" s="112"/>
      <c r="H85" s="112"/>
      <c r="I85" s="112"/>
      <c r="Y85" s="121"/>
      <c r="Z85" s="122"/>
    </row>
    <row r="86" spans="2:26" x14ac:dyDescent="0.15">
      <c r="B86" s="77">
        <v>21</v>
      </c>
      <c r="C86" s="92">
        <v>39.094440430797995</v>
      </c>
      <c r="D86" s="92">
        <v>2123.6630499999997</v>
      </c>
      <c r="E86" s="131">
        <v>1.8408965787109215</v>
      </c>
      <c r="F86" s="112"/>
      <c r="G86" s="112"/>
      <c r="H86" s="112"/>
      <c r="I86" s="112"/>
      <c r="Y86" s="121"/>
      <c r="Z86" s="122"/>
    </row>
    <row r="87" spans="2:26" x14ac:dyDescent="0.15">
      <c r="B87" s="77">
        <v>22</v>
      </c>
      <c r="C87" s="92">
        <v>39.854390485651997</v>
      </c>
      <c r="D87" s="92">
        <v>1709.5496799999999</v>
      </c>
      <c r="E87" s="131">
        <v>2.3312800412826844</v>
      </c>
      <c r="F87" s="112"/>
      <c r="G87" s="112"/>
      <c r="H87" s="112"/>
      <c r="I87" s="112"/>
      <c r="Y87" s="121"/>
      <c r="Z87" s="122"/>
    </row>
    <row r="88" spans="2:26" x14ac:dyDescent="0.15">
      <c r="B88" s="77">
        <v>23</v>
      </c>
      <c r="C88" s="92">
        <v>42.321527068456</v>
      </c>
      <c r="D88" s="92">
        <v>2056.7187100000001</v>
      </c>
      <c r="E88" s="131">
        <v>2.0577207210049639</v>
      </c>
      <c r="F88" s="112"/>
      <c r="G88" s="112"/>
      <c r="H88" s="112"/>
      <c r="I88" s="112"/>
      <c r="Y88" s="121"/>
      <c r="Z88" s="122"/>
    </row>
    <row r="89" spans="2:26" x14ac:dyDescent="0.15">
      <c r="B89" s="77">
        <v>24</v>
      </c>
      <c r="C89" s="92">
        <v>50.728289409105997</v>
      </c>
      <c r="D89" s="92">
        <v>1907.8148500000002</v>
      </c>
      <c r="E89" s="131">
        <v>2.6589734013814805</v>
      </c>
      <c r="F89" s="112"/>
      <c r="G89" s="112"/>
      <c r="H89" s="112"/>
      <c r="I89" s="112"/>
      <c r="Y89" s="121"/>
      <c r="Z89" s="122"/>
    </row>
    <row r="90" spans="2:26" x14ac:dyDescent="0.15">
      <c r="B90" s="77">
        <v>25.9</v>
      </c>
      <c r="C90" s="92">
        <v>61.999688783974001</v>
      </c>
      <c r="D90" s="92">
        <v>3376.90706</v>
      </c>
      <c r="E90" s="131">
        <v>1.8359903806169304</v>
      </c>
      <c r="F90" s="112"/>
      <c r="G90" s="112"/>
      <c r="H90" s="112"/>
      <c r="I90" s="112"/>
      <c r="Y90" s="121"/>
      <c r="Z90" s="122"/>
    </row>
    <row r="91" spans="2:26" x14ac:dyDescent="0.15">
      <c r="C91" s="90"/>
      <c r="F91" s="112"/>
      <c r="G91" s="112"/>
      <c r="H91" s="112"/>
      <c r="I91" s="112"/>
      <c r="Y91" s="121"/>
      <c r="Z91" s="122"/>
    </row>
    <row r="92" spans="2:26" x14ac:dyDescent="0.15">
      <c r="C92" s="77" t="s">
        <v>125</v>
      </c>
      <c r="D92" s="77" t="s">
        <v>124</v>
      </c>
      <c r="G92" s="77" t="s">
        <v>231</v>
      </c>
      <c r="H92" s="77" t="s">
        <v>232</v>
      </c>
      <c r="Y92" s="121"/>
      <c r="Z92" s="122"/>
    </row>
    <row r="93" spans="2:26" x14ac:dyDescent="0.15">
      <c r="B93" s="77">
        <v>12</v>
      </c>
      <c r="C93" s="90">
        <v>12.202299999999999</v>
      </c>
      <c r="D93" s="90">
        <v>1.5952071805150001</v>
      </c>
      <c r="F93" s="77">
        <v>12</v>
      </c>
      <c r="G93" s="90">
        <v>12.202299999999999</v>
      </c>
      <c r="H93" s="90">
        <v>1.5952071805150001</v>
      </c>
      <c r="Y93" s="121"/>
      <c r="Z93" s="122"/>
    </row>
    <row r="94" spans="2:26" x14ac:dyDescent="0.15">
      <c r="B94" s="77">
        <v>13</v>
      </c>
      <c r="C94" s="90">
        <v>11.73812</v>
      </c>
      <c r="D94" s="90">
        <v>1.445950572606</v>
      </c>
      <c r="F94" s="77">
        <v>13</v>
      </c>
      <c r="G94" s="90">
        <v>11.73812</v>
      </c>
      <c r="H94" s="90">
        <v>1.445950572606</v>
      </c>
      <c r="Y94" s="121"/>
      <c r="Z94" s="122"/>
    </row>
    <row r="95" spans="2:26" x14ac:dyDescent="0.15">
      <c r="B95" s="77">
        <v>14</v>
      </c>
      <c r="C95" s="90">
        <v>14.581760000000001</v>
      </c>
      <c r="D95" s="90">
        <v>3.2276331543780001</v>
      </c>
      <c r="F95" s="77">
        <v>14</v>
      </c>
      <c r="G95" s="90">
        <v>14.581760000000001</v>
      </c>
      <c r="H95" s="90">
        <v>3.2276331543780001</v>
      </c>
      <c r="Y95" s="121"/>
      <c r="Z95" s="122"/>
    </row>
    <row r="96" spans="2:26" x14ac:dyDescent="0.15">
      <c r="B96" s="77">
        <v>15</v>
      </c>
      <c r="C96" s="90">
        <v>19.192790000000002</v>
      </c>
      <c r="D96" s="90">
        <v>10.675211055713</v>
      </c>
      <c r="F96" s="77">
        <v>15</v>
      </c>
      <c r="G96" s="90">
        <v>19.192790000000002</v>
      </c>
      <c r="H96" s="90">
        <v>10.675211055713</v>
      </c>
      <c r="Y96" s="121"/>
      <c r="Z96" s="122"/>
    </row>
    <row r="97" spans="2:26" x14ac:dyDescent="0.15">
      <c r="B97" s="77">
        <v>16</v>
      </c>
      <c r="C97" s="90">
        <v>20.762080000000001</v>
      </c>
      <c r="D97" s="90">
        <v>8.6017451074729987</v>
      </c>
      <c r="F97" s="77">
        <v>16</v>
      </c>
      <c r="G97" s="90">
        <v>20.762080000000001</v>
      </c>
      <c r="H97" s="90">
        <v>8.6017451074729987</v>
      </c>
      <c r="Y97" s="121"/>
      <c r="Z97" s="122"/>
    </row>
    <row r="98" spans="2:26" x14ac:dyDescent="0.15">
      <c r="B98" s="77">
        <v>17</v>
      </c>
      <c r="C98" s="90">
        <v>25.035790000000002</v>
      </c>
      <c r="D98" s="90">
        <v>7.6501914391850008</v>
      </c>
      <c r="F98" s="77">
        <v>17</v>
      </c>
      <c r="G98" s="90">
        <v>25.035790000000002</v>
      </c>
      <c r="H98" s="90">
        <v>7.6501914391850008</v>
      </c>
      <c r="Y98" s="121"/>
      <c r="Z98" s="122"/>
    </row>
    <row r="99" spans="2:26" x14ac:dyDescent="0.15">
      <c r="B99" s="77">
        <v>18</v>
      </c>
      <c r="C99" s="90">
        <v>28.957380000000001</v>
      </c>
      <c r="D99" s="90">
        <v>4.9579072430720004</v>
      </c>
      <c r="F99" s="77">
        <v>18</v>
      </c>
      <c r="G99" s="90">
        <v>28.957380000000001</v>
      </c>
      <c r="H99" s="90">
        <v>4.9579072430720004</v>
      </c>
      <c r="Y99" s="121"/>
      <c r="Z99" s="122"/>
    </row>
    <row r="100" spans="2:26" x14ac:dyDescent="0.15">
      <c r="B100" s="77">
        <v>19</v>
      </c>
      <c r="C100" s="90">
        <v>28.228860000000001</v>
      </c>
      <c r="D100" s="90">
        <v>2.5980707083839998</v>
      </c>
      <c r="F100" s="77">
        <v>19</v>
      </c>
      <c r="G100" s="90">
        <v>28.228860000000001</v>
      </c>
      <c r="H100" s="90">
        <v>2.5980707083839998</v>
      </c>
      <c r="Y100" s="121"/>
      <c r="Z100" s="122"/>
    </row>
    <row r="101" spans="2:26" x14ac:dyDescent="0.15">
      <c r="B101" s="77">
        <v>20</v>
      </c>
      <c r="C101" s="90">
        <v>38.247309999999999</v>
      </c>
      <c r="D101" s="90">
        <v>2.8843293037470001</v>
      </c>
      <c r="F101" s="77">
        <v>20</v>
      </c>
      <c r="G101" s="90">
        <v>38.247309999999999</v>
      </c>
      <c r="H101" s="90">
        <v>2.8843293037470001</v>
      </c>
      <c r="Y101" s="121"/>
      <c r="Z101" s="122"/>
    </row>
    <row r="102" spans="2:26" x14ac:dyDescent="0.15">
      <c r="B102" s="77">
        <v>21</v>
      </c>
      <c r="C102" s="90">
        <v>37.271209999999996</v>
      </c>
      <c r="D102" s="90">
        <v>1.8232304307980001</v>
      </c>
      <c r="F102" s="77">
        <v>21</v>
      </c>
      <c r="G102" s="90">
        <v>37.271209999999996</v>
      </c>
      <c r="H102" s="90">
        <v>1.8232304307980001</v>
      </c>
      <c r="Y102" s="121"/>
      <c r="Z102" s="122"/>
    </row>
    <row r="103" spans="2:26" x14ac:dyDescent="0.15">
      <c r="B103" s="77">
        <v>22</v>
      </c>
      <c r="C103" s="90">
        <v>37.280670000000001</v>
      </c>
      <c r="D103" s="90">
        <v>2.5737204856519997</v>
      </c>
      <c r="F103" s="77">
        <v>22</v>
      </c>
      <c r="G103" s="90">
        <v>37.280670000000001</v>
      </c>
      <c r="H103" s="90">
        <v>2.5737204856519997</v>
      </c>
      <c r="Y103" s="121"/>
      <c r="Z103" s="122"/>
    </row>
    <row r="104" spans="2:26" x14ac:dyDescent="0.15">
      <c r="B104" s="77">
        <v>23</v>
      </c>
      <c r="C104" s="90">
        <v>38.936900000000001</v>
      </c>
      <c r="D104" s="90">
        <v>3.3846270684559996</v>
      </c>
      <c r="F104" s="77">
        <v>23</v>
      </c>
      <c r="G104" s="90">
        <v>38.936900000000001</v>
      </c>
      <c r="H104" s="90">
        <v>3.3846270684559996</v>
      </c>
      <c r="Y104" s="121"/>
      <c r="Z104" s="122"/>
    </row>
    <row r="105" spans="2:26" x14ac:dyDescent="0.15">
      <c r="B105" s="77">
        <v>24</v>
      </c>
      <c r="C105" s="90">
        <v>43.265129999999999</v>
      </c>
      <c r="D105" s="90">
        <v>7.4631594091060007</v>
      </c>
      <c r="F105" s="77">
        <v>24</v>
      </c>
      <c r="G105" s="90">
        <v>43.265129999999999</v>
      </c>
      <c r="H105" s="90">
        <v>7.4631594091060007</v>
      </c>
      <c r="Y105" s="121"/>
      <c r="Z105" s="122"/>
    </row>
    <row r="106" spans="2:26" x14ac:dyDescent="0.15">
      <c r="B106" s="77" t="s">
        <v>229</v>
      </c>
      <c r="C106" s="90">
        <v>47.13899</v>
      </c>
      <c r="D106" s="90">
        <v>14.860698783974</v>
      </c>
      <c r="F106" s="77" t="s">
        <v>229</v>
      </c>
      <c r="G106" s="90">
        <v>47.13899</v>
      </c>
      <c r="H106" s="90">
        <v>14.860698783974</v>
      </c>
      <c r="Y106" s="121"/>
      <c r="Z106" s="122"/>
    </row>
    <row r="107" spans="2:26" x14ac:dyDescent="0.15">
      <c r="B107" s="77" t="s">
        <v>230</v>
      </c>
      <c r="C107" s="90">
        <v>58.614629999999998</v>
      </c>
      <c r="D107" s="90">
        <v>7.2290092352180002</v>
      </c>
      <c r="F107" s="77" t="s">
        <v>230</v>
      </c>
      <c r="G107" s="90">
        <v>58.614629999999998</v>
      </c>
      <c r="H107" s="90">
        <v>7.2290092352180002</v>
      </c>
      <c r="Y107" s="121"/>
      <c r="Z107" s="122"/>
    </row>
    <row r="108" spans="2:26" x14ac:dyDescent="0.15">
      <c r="Y108" s="121"/>
      <c r="Z108" s="122"/>
    </row>
    <row r="109" spans="2:26" x14ac:dyDescent="0.15">
      <c r="Y109" s="121"/>
      <c r="Z109" s="122"/>
    </row>
    <row r="110" spans="2:26" x14ac:dyDescent="0.15">
      <c r="Y110" s="121"/>
      <c r="Z110" s="122"/>
    </row>
    <row r="111" spans="2:26" x14ac:dyDescent="0.15">
      <c r="Y111" s="121"/>
      <c r="Z111" s="122"/>
    </row>
    <row r="112" spans="2:26" x14ac:dyDescent="0.15">
      <c r="Y112" s="121"/>
      <c r="Z112" s="122"/>
    </row>
    <row r="113" spans="25:26" x14ac:dyDescent="0.15">
      <c r="Y113" s="121"/>
      <c r="Z113" s="122"/>
    </row>
    <row r="114" spans="25:26" x14ac:dyDescent="0.15">
      <c r="Y114" s="121"/>
      <c r="Z114" s="122"/>
    </row>
    <row r="115" spans="25:26" x14ac:dyDescent="0.15">
      <c r="Y115" s="121"/>
      <c r="Z115" s="122"/>
    </row>
    <row r="116" spans="25:26" x14ac:dyDescent="0.15">
      <c r="Y116" s="121"/>
      <c r="Z116" s="122"/>
    </row>
    <row r="117" spans="25:26" x14ac:dyDescent="0.15">
      <c r="Y117" s="121"/>
      <c r="Z117" s="122"/>
    </row>
    <row r="118" spans="25:26" x14ac:dyDescent="0.15">
      <c r="Y118" s="121"/>
      <c r="Z118" s="122"/>
    </row>
    <row r="119" spans="25:26" x14ac:dyDescent="0.15">
      <c r="Y119" s="121"/>
      <c r="Z119" s="122"/>
    </row>
    <row r="120" spans="25:26" x14ac:dyDescent="0.15">
      <c r="Y120" s="121"/>
      <c r="Z120" s="122"/>
    </row>
    <row r="121" spans="25:26" x14ac:dyDescent="0.15">
      <c r="Y121" s="121"/>
      <c r="Z121" s="122"/>
    </row>
    <row r="122" spans="25:26" x14ac:dyDescent="0.15">
      <c r="Y122" s="121"/>
      <c r="Z122" s="122"/>
    </row>
    <row r="123" spans="25:26" x14ac:dyDescent="0.15">
      <c r="Y123" s="121"/>
      <c r="Z123" s="122"/>
    </row>
    <row r="124" spans="25:26" x14ac:dyDescent="0.15">
      <c r="Y124" s="121"/>
      <c r="Z124" s="122"/>
    </row>
    <row r="125" spans="25:26" x14ac:dyDescent="0.15">
      <c r="Y125" s="121"/>
      <c r="Z125" s="122"/>
    </row>
    <row r="126" spans="25:26" x14ac:dyDescent="0.15">
      <c r="Y126" s="121"/>
      <c r="Z126" s="122"/>
    </row>
    <row r="127" spans="25:26" x14ac:dyDescent="0.15">
      <c r="Y127" s="121"/>
      <c r="Z127" s="122"/>
    </row>
    <row r="128" spans="25:26" x14ac:dyDescent="0.15">
      <c r="Y128" s="121"/>
      <c r="Z128" s="122"/>
    </row>
    <row r="129" spans="25:26" x14ac:dyDescent="0.15">
      <c r="Y129" s="121"/>
      <c r="Z129" s="122"/>
    </row>
    <row r="130" spans="25:26" x14ac:dyDescent="0.15">
      <c r="Y130" s="121"/>
      <c r="Z130" s="122"/>
    </row>
    <row r="131" spans="25:26" x14ac:dyDescent="0.15">
      <c r="Y131" s="121"/>
      <c r="Z131" s="122"/>
    </row>
    <row r="132" spans="25:26" x14ac:dyDescent="0.15">
      <c r="Y132" s="121"/>
      <c r="Z132" s="122"/>
    </row>
    <row r="133" spans="25:26" x14ac:dyDescent="0.15">
      <c r="Y133" s="121"/>
      <c r="Z133" s="122"/>
    </row>
    <row r="134" spans="25:26" x14ac:dyDescent="0.15">
      <c r="Y134" s="121"/>
      <c r="Z134" s="122"/>
    </row>
    <row r="135" spans="25:26" x14ac:dyDescent="0.15">
      <c r="Y135" s="121"/>
      <c r="Z135" s="122"/>
    </row>
    <row r="136" spans="25:26" x14ac:dyDescent="0.15">
      <c r="Y136" s="121"/>
      <c r="Z136" s="122"/>
    </row>
    <row r="137" spans="25:26" x14ac:dyDescent="0.15">
      <c r="Y137" s="121"/>
      <c r="Z137" s="122"/>
    </row>
    <row r="138" spans="25:26" x14ac:dyDescent="0.15">
      <c r="Y138" s="121"/>
      <c r="Z138" s="122"/>
    </row>
    <row r="139" spans="25:26" x14ac:dyDescent="0.15">
      <c r="Y139" s="121"/>
      <c r="Z139" s="122"/>
    </row>
    <row r="140" spans="25:26" x14ac:dyDescent="0.15">
      <c r="Y140" s="121"/>
      <c r="Z140" s="122"/>
    </row>
    <row r="141" spans="25:26" x14ac:dyDescent="0.15">
      <c r="Y141" s="121"/>
      <c r="Z141" s="122"/>
    </row>
    <row r="142" spans="25:26" x14ac:dyDescent="0.15">
      <c r="Y142" s="121"/>
      <c r="Z142" s="122"/>
    </row>
    <row r="143" spans="25:26" x14ac:dyDescent="0.15">
      <c r="Y143" s="121"/>
      <c r="Z143" s="122"/>
    </row>
    <row r="144" spans="25:26" x14ac:dyDescent="0.15">
      <c r="Y144" s="121"/>
      <c r="Z144" s="122"/>
    </row>
    <row r="145" spans="25:26" x14ac:dyDescent="0.15">
      <c r="Y145" s="121"/>
      <c r="Z145" s="122"/>
    </row>
    <row r="146" spans="25:26" x14ac:dyDescent="0.15">
      <c r="Y146" s="121"/>
      <c r="Z146" s="122"/>
    </row>
    <row r="147" spans="25:26" x14ac:dyDescent="0.15">
      <c r="Y147" s="121"/>
      <c r="Z147" s="122"/>
    </row>
    <row r="148" spans="25:26" x14ac:dyDescent="0.15">
      <c r="Y148" s="121"/>
      <c r="Z148" s="122"/>
    </row>
    <row r="149" spans="25:26" x14ac:dyDescent="0.15">
      <c r="Y149" s="121"/>
      <c r="Z149" s="122"/>
    </row>
    <row r="150" spans="25:26" x14ac:dyDescent="0.15">
      <c r="Y150" s="121"/>
      <c r="Z150" s="122"/>
    </row>
    <row r="151" spans="25:26" x14ac:dyDescent="0.15">
      <c r="Y151" s="121"/>
      <c r="Z151" s="122"/>
    </row>
    <row r="152" spans="25:26" x14ac:dyDescent="0.15">
      <c r="Y152" s="121"/>
      <c r="Z152" s="122"/>
    </row>
    <row r="153" spans="25:26" x14ac:dyDescent="0.15">
      <c r="Y153" s="121"/>
      <c r="Z153" s="122"/>
    </row>
    <row r="154" spans="25:26" x14ac:dyDescent="0.15">
      <c r="Y154" s="121"/>
      <c r="Z154" s="122"/>
    </row>
    <row r="155" spans="25:26" x14ac:dyDescent="0.15">
      <c r="Y155" s="121"/>
      <c r="Z155" s="122"/>
    </row>
    <row r="156" spans="25:26" x14ac:dyDescent="0.15">
      <c r="Y156" s="121"/>
      <c r="Z156" s="122"/>
    </row>
    <row r="157" spans="25:26" x14ac:dyDescent="0.15">
      <c r="Y157" s="121"/>
      <c r="Z157" s="122"/>
    </row>
    <row r="158" spans="25:26" x14ac:dyDescent="0.15">
      <c r="Y158" s="121"/>
      <c r="Z158" s="122"/>
    </row>
    <row r="159" spans="25:26" x14ac:dyDescent="0.15">
      <c r="Y159" s="121"/>
      <c r="Z159" s="122"/>
    </row>
    <row r="160" spans="25:26" x14ac:dyDescent="0.15">
      <c r="Y160" s="121"/>
      <c r="Z160" s="122"/>
    </row>
    <row r="161" spans="25:26" x14ac:dyDescent="0.15">
      <c r="Y161" s="121"/>
      <c r="Z161" s="122"/>
    </row>
    <row r="162" spans="25:26" x14ac:dyDescent="0.15">
      <c r="Y162" s="121"/>
      <c r="Z162" s="122"/>
    </row>
    <row r="163" spans="25:26" x14ac:dyDescent="0.15">
      <c r="Y163" s="121"/>
      <c r="Z163" s="122"/>
    </row>
    <row r="164" spans="25:26" x14ac:dyDescent="0.15">
      <c r="Y164" s="121"/>
      <c r="Z164" s="122"/>
    </row>
    <row r="165" spans="25:26" x14ac:dyDescent="0.15">
      <c r="Y165" s="121"/>
      <c r="Z165" s="122"/>
    </row>
    <row r="166" spans="25:26" x14ac:dyDescent="0.15">
      <c r="Y166" s="121"/>
      <c r="Z166" s="122"/>
    </row>
    <row r="167" spans="25:26" x14ac:dyDescent="0.15">
      <c r="Y167" s="121"/>
      <c r="Z167" s="122"/>
    </row>
    <row r="168" spans="25:26" x14ac:dyDescent="0.15">
      <c r="Y168" s="121"/>
      <c r="Z168" s="122"/>
    </row>
    <row r="169" spans="25:26" x14ac:dyDescent="0.15">
      <c r="Y169" s="121"/>
      <c r="Z169" s="122"/>
    </row>
    <row r="170" spans="25:26" x14ac:dyDescent="0.15">
      <c r="Y170" s="121"/>
      <c r="Z170" s="122"/>
    </row>
    <row r="171" spans="25:26" x14ac:dyDescent="0.15">
      <c r="Y171" s="121"/>
      <c r="Z171" s="122"/>
    </row>
    <row r="172" spans="25:26" x14ac:dyDescent="0.15">
      <c r="Y172" s="121"/>
      <c r="Z172" s="122"/>
    </row>
    <row r="173" spans="25:26" x14ac:dyDescent="0.15">
      <c r="Y173" s="121"/>
      <c r="Z173" s="122"/>
    </row>
    <row r="174" spans="25:26" x14ac:dyDescent="0.15">
      <c r="Y174" s="121"/>
      <c r="Z174" s="122"/>
    </row>
    <row r="175" spans="25:26" x14ac:dyDescent="0.15">
      <c r="Y175" s="121"/>
      <c r="Z175" s="122"/>
    </row>
    <row r="176" spans="25:26" x14ac:dyDescent="0.15">
      <c r="Y176" s="121"/>
      <c r="Z176" s="122"/>
    </row>
    <row r="177" spans="25:26" x14ac:dyDescent="0.15">
      <c r="Y177" s="121"/>
      <c r="Z177" s="122"/>
    </row>
    <row r="178" spans="25:26" x14ac:dyDescent="0.15">
      <c r="Y178" s="121"/>
      <c r="Z178" s="122"/>
    </row>
    <row r="179" spans="25:26" x14ac:dyDescent="0.15">
      <c r="Y179" s="121"/>
      <c r="Z179" s="122"/>
    </row>
    <row r="180" spans="25:26" x14ac:dyDescent="0.15">
      <c r="Y180" s="121"/>
      <c r="Z180" s="122"/>
    </row>
    <row r="181" spans="25:26" x14ac:dyDescent="0.15">
      <c r="Y181" s="121"/>
      <c r="Z181" s="122"/>
    </row>
    <row r="182" spans="25:26" x14ac:dyDescent="0.15">
      <c r="Y182" s="121"/>
      <c r="Z182" s="122"/>
    </row>
    <row r="183" spans="25:26" x14ac:dyDescent="0.15">
      <c r="Y183" s="121"/>
      <c r="Z183" s="122"/>
    </row>
    <row r="184" spans="25:26" x14ac:dyDescent="0.15">
      <c r="Y184" s="121"/>
      <c r="Z184" s="122"/>
    </row>
    <row r="185" spans="25:26" x14ac:dyDescent="0.15">
      <c r="Y185" s="121"/>
      <c r="Z185" s="122"/>
    </row>
    <row r="186" spans="25:26" x14ac:dyDescent="0.15">
      <c r="Y186" s="121"/>
      <c r="Z186" s="122"/>
    </row>
    <row r="187" spans="25:26" x14ac:dyDescent="0.15">
      <c r="Y187" s="121"/>
      <c r="Z187" s="122"/>
    </row>
    <row r="188" spans="25:26" x14ac:dyDescent="0.15">
      <c r="Y188" s="121"/>
      <c r="Z188" s="122"/>
    </row>
    <row r="189" spans="25:26" x14ac:dyDescent="0.15">
      <c r="Y189" s="121"/>
      <c r="Z189" s="122"/>
    </row>
    <row r="190" spans="25:26" x14ac:dyDescent="0.15">
      <c r="Y190" s="121"/>
      <c r="Z190" s="122"/>
    </row>
    <row r="191" spans="25:26" x14ac:dyDescent="0.15">
      <c r="Y191" s="121"/>
      <c r="Z191" s="122"/>
    </row>
    <row r="192" spans="25:26" x14ac:dyDescent="0.15">
      <c r="Y192" s="121"/>
      <c r="Z192" s="122"/>
    </row>
    <row r="193" spans="25:26" x14ac:dyDescent="0.15">
      <c r="Y193" s="121"/>
      <c r="Z193" s="122"/>
    </row>
    <row r="194" spans="25:26" x14ac:dyDescent="0.15">
      <c r="Y194" s="121"/>
      <c r="Z194" s="122"/>
    </row>
    <row r="195" spans="25:26" x14ac:dyDescent="0.15">
      <c r="Y195" s="121"/>
      <c r="Z195" s="122"/>
    </row>
    <row r="196" spans="25:26" x14ac:dyDescent="0.15">
      <c r="Y196" s="121"/>
      <c r="Z196" s="122"/>
    </row>
    <row r="197" spans="25:26" x14ac:dyDescent="0.15">
      <c r="Y197" s="121"/>
      <c r="Z197" s="122"/>
    </row>
    <row r="198" spans="25:26" x14ac:dyDescent="0.15">
      <c r="Y198" s="121"/>
      <c r="Z198" s="122"/>
    </row>
    <row r="199" spans="25:26" x14ac:dyDescent="0.15">
      <c r="Y199" s="121"/>
      <c r="Z199" s="122"/>
    </row>
    <row r="200" spans="25:26" x14ac:dyDescent="0.15">
      <c r="Y200" s="121"/>
      <c r="Z200" s="122"/>
    </row>
    <row r="201" spans="25:26" x14ac:dyDescent="0.15">
      <c r="Y201" s="121"/>
      <c r="Z201" s="122"/>
    </row>
    <row r="202" spans="25:26" x14ac:dyDescent="0.15">
      <c r="Y202" s="121"/>
      <c r="Z202" s="122"/>
    </row>
    <row r="203" spans="25:26" x14ac:dyDescent="0.15">
      <c r="Y203" s="121"/>
      <c r="Z203" s="122"/>
    </row>
    <row r="204" spans="25:26" x14ac:dyDescent="0.15">
      <c r="Y204" s="121"/>
      <c r="Z204" s="122"/>
    </row>
    <row r="205" spans="25:26" x14ac:dyDescent="0.15">
      <c r="Y205" s="121"/>
      <c r="Z205" s="122"/>
    </row>
    <row r="206" spans="25:26" x14ac:dyDescent="0.15">
      <c r="Y206" s="121"/>
      <c r="Z206" s="122"/>
    </row>
    <row r="207" spans="25:26" x14ac:dyDescent="0.15">
      <c r="Y207" s="121"/>
      <c r="Z207" s="122"/>
    </row>
    <row r="208" spans="25:26" x14ac:dyDescent="0.15">
      <c r="Y208" s="121"/>
      <c r="Z208" s="122"/>
    </row>
    <row r="209" spans="25:26" x14ac:dyDescent="0.15">
      <c r="Y209" s="121"/>
      <c r="Z209" s="122"/>
    </row>
    <row r="210" spans="25:26" x14ac:dyDescent="0.15">
      <c r="Y210" s="121"/>
      <c r="Z210" s="122"/>
    </row>
    <row r="211" spans="25:26" x14ac:dyDescent="0.15">
      <c r="Y211" s="121"/>
      <c r="Z211" s="122"/>
    </row>
    <row r="212" spans="25:26" x14ac:dyDescent="0.15">
      <c r="Y212" s="121"/>
      <c r="Z212" s="122"/>
    </row>
    <row r="213" spans="25:26" x14ac:dyDescent="0.15">
      <c r="Y213" s="121"/>
      <c r="Z213" s="122"/>
    </row>
    <row r="214" spans="25:26" x14ac:dyDescent="0.15">
      <c r="Y214" s="121"/>
      <c r="Z214" s="122"/>
    </row>
    <row r="215" spans="25:26" x14ac:dyDescent="0.15">
      <c r="Y215" s="121"/>
      <c r="Z215" s="122"/>
    </row>
    <row r="216" spans="25:26" x14ac:dyDescent="0.15">
      <c r="Y216" s="121"/>
      <c r="Z216" s="122"/>
    </row>
    <row r="217" spans="25:26" x14ac:dyDescent="0.15">
      <c r="Y217" s="121"/>
      <c r="Z217" s="122"/>
    </row>
    <row r="218" spans="25:26" x14ac:dyDescent="0.15">
      <c r="Y218" s="121"/>
      <c r="Z218" s="122"/>
    </row>
    <row r="219" spans="25:26" x14ac:dyDescent="0.15">
      <c r="Y219" s="121"/>
      <c r="Z219" s="122"/>
    </row>
    <row r="220" spans="25:26" x14ac:dyDescent="0.15">
      <c r="Y220" s="121"/>
      <c r="Z220" s="122"/>
    </row>
    <row r="221" spans="25:26" x14ac:dyDescent="0.15">
      <c r="Y221" s="121"/>
      <c r="Z221" s="122"/>
    </row>
    <row r="222" spans="25:26" x14ac:dyDescent="0.15">
      <c r="Y222" s="121"/>
      <c r="Z222" s="122"/>
    </row>
    <row r="223" spans="25:26" x14ac:dyDescent="0.15">
      <c r="Y223" s="121"/>
      <c r="Z223" s="122"/>
    </row>
    <row r="224" spans="25:26" x14ac:dyDescent="0.15">
      <c r="Y224" s="121"/>
      <c r="Z224" s="122"/>
    </row>
    <row r="225" spans="25:26" x14ac:dyDescent="0.15">
      <c r="Y225" s="121"/>
      <c r="Z225" s="122"/>
    </row>
    <row r="226" spans="25:26" x14ac:dyDescent="0.15">
      <c r="Y226" s="121"/>
      <c r="Z226" s="122"/>
    </row>
    <row r="227" spans="25:26" x14ac:dyDescent="0.15">
      <c r="Y227" s="121"/>
      <c r="Z227" s="122"/>
    </row>
    <row r="228" spans="25:26" x14ac:dyDescent="0.15">
      <c r="Y228" s="121"/>
      <c r="Z228" s="122"/>
    </row>
    <row r="229" spans="25:26" x14ac:dyDescent="0.15">
      <c r="Y229" s="121"/>
      <c r="Z229" s="122"/>
    </row>
    <row r="230" spans="25:26" x14ac:dyDescent="0.15">
      <c r="Y230" s="121"/>
      <c r="Z230" s="122"/>
    </row>
    <row r="231" spans="25:26" x14ac:dyDescent="0.15">
      <c r="Y231" s="121"/>
      <c r="Z231" s="122"/>
    </row>
    <row r="232" spans="25:26" x14ac:dyDescent="0.15">
      <c r="Y232" s="121"/>
      <c r="Z232" s="122"/>
    </row>
    <row r="233" spans="25:26" x14ac:dyDescent="0.15">
      <c r="Y233" s="121"/>
      <c r="Z233" s="122"/>
    </row>
    <row r="234" spans="25:26" x14ac:dyDescent="0.15">
      <c r="Y234" s="121"/>
      <c r="Z234" s="122"/>
    </row>
    <row r="235" spans="25:26" x14ac:dyDescent="0.15">
      <c r="Y235" s="121"/>
      <c r="Z235" s="122"/>
    </row>
    <row r="236" spans="25:26" x14ac:dyDescent="0.15">
      <c r="Y236" s="121"/>
      <c r="Z236" s="122"/>
    </row>
    <row r="237" spans="25:26" x14ac:dyDescent="0.15">
      <c r="Y237" s="121"/>
      <c r="Z237" s="122"/>
    </row>
    <row r="238" spans="25:26" x14ac:dyDescent="0.15">
      <c r="Y238" s="121"/>
      <c r="Z238" s="122"/>
    </row>
    <row r="239" spans="25:26" x14ac:dyDescent="0.15">
      <c r="Y239" s="121"/>
      <c r="Z239" s="122"/>
    </row>
    <row r="240" spans="25:26" x14ac:dyDescent="0.15">
      <c r="Y240" s="121"/>
      <c r="Z240" s="122"/>
    </row>
    <row r="241" spans="25:26" x14ac:dyDescent="0.15">
      <c r="Y241" s="121"/>
      <c r="Z241" s="122"/>
    </row>
    <row r="242" spans="25:26" x14ac:dyDescent="0.15">
      <c r="Y242" s="121"/>
      <c r="Z242" s="122"/>
    </row>
    <row r="243" spans="25:26" x14ac:dyDescent="0.15">
      <c r="Y243" s="121"/>
      <c r="Z243" s="122"/>
    </row>
    <row r="244" spans="25:26" x14ac:dyDescent="0.15">
      <c r="Y244" s="121"/>
      <c r="Z244" s="122"/>
    </row>
    <row r="245" spans="25:26" x14ac:dyDescent="0.15">
      <c r="Y245" s="121"/>
      <c r="Z245" s="122"/>
    </row>
    <row r="246" spans="25:26" x14ac:dyDescent="0.15">
      <c r="Y246" s="121"/>
      <c r="Z246" s="122"/>
    </row>
    <row r="247" spans="25:26" x14ac:dyDescent="0.15">
      <c r="Y247" s="121"/>
      <c r="Z247" s="122"/>
    </row>
    <row r="248" spans="25:26" x14ac:dyDescent="0.15">
      <c r="Y248" s="121"/>
      <c r="Z248" s="122"/>
    </row>
    <row r="249" spans="25:26" x14ac:dyDescent="0.15">
      <c r="Y249" s="121"/>
      <c r="Z249" s="122"/>
    </row>
    <row r="250" spans="25:26" x14ac:dyDescent="0.15">
      <c r="Y250" s="121"/>
      <c r="Z250" s="122"/>
    </row>
    <row r="251" spans="25:26" x14ac:dyDescent="0.15">
      <c r="Y251" s="121"/>
      <c r="Z251" s="122"/>
    </row>
    <row r="252" spans="25:26" x14ac:dyDescent="0.15">
      <c r="Y252" s="121"/>
      <c r="Z252" s="122"/>
    </row>
    <row r="253" spans="25:26" x14ac:dyDescent="0.15">
      <c r="Y253" s="121"/>
      <c r="Z253" s="122"/>
    </row>
    <row r="254" spans="25:26" x14ac:dyDescent="0.15">
      <c r="Y254" s="121"/>
      <c r="Z254" s="122"/>
    </row>
    <row r="255" spans="25:26" x14ac:dyDescent="0.15">
      <c r="Y255" s="121"/>
      <c r="Z255" s="122"/>
    </row>
    <row r="256" spans="25:26" x14ac:dyDescent="0.15">
      <c r="Y256" s="121"/>
      <c r="Z256" s="122"/>
    </row>
    <row r="257" spans="25:26" x14ac:dyDescent="0.15">
      <c r="Y257" s="121"/>
      <c r="Z257" s="122"/>
    </row>
    <row r="258" spans="25:26" x14ac:dyDescent="0.15">
      <c r="Y258" s="121"/>
      <c r="Z258" s="122"/>
    </row>
    <row r="259" spans="25:26" x14ac:dyDescent="0.15">
      <c r="Y259" s="121"/>
      <c r="Z259" s="122"/>
    </row>
    <row r="260" spans="25:26" x14ac:dyDescent="0.15">
      <c r="Y260" s="121"/>
      <c r="Z260" s="122"/>
    </row>
    <row r="261" spans="25:26" x14ac:dyDescent="0.15">
      <c r="Y261" s="121"/>
      <c r="Z261" s="122"/>
    </row>
    <row r="262" spans="25:26" x14ac:dyDescent="0.15">
      <c r="Y262" s="121"/>
      <c r="Z262" s="122"/>
    </row>
    <row r="263" spans="25:26" x14ac:dyDescent="0.15">
      <c r="Y263" s="121"/>
      <c r="Z263" s="122"/>
    </row>
    <row r="264" spans="25:26" x14ac:dyDescent="0.15">
      <c r="Y264" s="121"/>
      <c r="Z264" s="122"/>
    </row>
    <row r="265" spans="25:26" x14ac:dyDescent="0.15">
      <c r="Y265" s="121"/>
      <c r="Z265" s="122"/>
    </row>
    <row r="266" spans="25:26" x14ac:dyDescent="0.15">
      <c r="Y266" s="121"/>
      <c r="Z266" s="122"/>
    </row>
    <row r="267" spans="25:26" x14ac:dyDescent="0.15">
      <c r="Y267" s="121"/>
      <c r="Z267" s="122"/>
    </row>
    <row r="268" spans="25:26" x14ac:dyDescent="0.15">
      <c r="Y268" s="121"/>
      <c r="Z268" s="122"/>
    </row>
    <row r="269" spans="25:26" x14ac:dyDescent="0.15">
      <c r="Y269" s="121"/>
      <c r="Z269" s="122"/>
    </row>
    <row r="270" spans="25:26" x14ac:dyDescent="0.15">
      <c r="Y270" s="121"/>
      <c r="Z270" s="122"/>
    </row>
    <row r="271" spans="25:26" x14ac:dyDescent="0.15">
      <c r="Y271" s="121"/>
      <c r="Z271" s="122"/>
    </row>
    <row r="272" spans="25:26" x14ac:dyDescent="0.15">
      <c r="Y272" s="121"/>
      <c r="Z272" s="122"/>
    </row>
    <row r="273" spans="25:26" x14ac:dyDescent="0.15">
      <c r="Y273" s="121"/>
      <c r="Z273" s="122"/>
    </row>
    <row r="274" spans="25:26" x14ac:dyDescent="0.15">
      <c r="Y274" s="121"/>
      <c r="Z274" s="122"/>
    </row>
    <row r="275" spans="25:26" x14ac:dyDescent="0.15">
      <c r="Y275" s="121"/>
      <c r="Z275" s="122"/>
    </row>
    <row r="276" spans="25:26" x14ac:dyDescent="0.15">
      <c r="Y276" s="121"/>
      <c r="Z276" s="122"/>
    </row>
    <row r="277" spans="25:26" x14ac:dyDescent="0.15">
      <c r="Y277" s="121"/>
      <c r="Z277" s="122"/>
    </row>
    <row r="278" spans="25:26" x14ac:dyDescent="0.15">
      <c r="Y278" s="121"/>
      <c r="Z278" s="81"/>
    </row>
  </sheetData>
  <phoneticPr fontId="5" type="noConversion"/>
  <hyperlinks>
    <hyperlink ref="Y2" tooltip="Quantiwise7G" display="     Refresh     " xr:uid="{9E760651-4267-45B7-BC7A-C0A9881D89FE}"/>
    <hyperlink ref="AD2" tooltip="Quantiwise7G" display="     Refresh     " xr:uid="{A8513387-6CB6-419F-8C28-AA17C6ED47F1}"/>
    <hyperlink ref="AD19" tooltip="Quantiwise7G" display="     Refresh     " xr:uid="{602FFFAE-41DE-41A3-8F67-F721D6AF0206}"/>
    <hyperlink ref="AD47" tooltip="Quantiwise7G" display="     Refresh     " xr:uid="{FEE6A9C7-6A9C-4119-BB5B-F94E237787FA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EB2F-24C3-47E8-A73F-7B6CD16976B8}">
  <dimension ref="B2:E32"/>
  <sheetViews>
    <sheetView showGridLines="0" tabSelected="1" workbookViewId="0">
      <selection activeCell="D10" sqref="D10"/>
    </sheetView>
  </sheetViews>
  <sheetFormatPr defaultRowHeight="11.25" x14ac:dyDescent="0.15"/>
  <cols>
    <col min="2" max="2" width="14.83203125" customWidth="1"/>
    <col min="3" max="3" width="22.83203125" customWidth="1"/>
    <col min="4" max="5" width="14.83203125" customWidth="1"/>
  </cols>
  <sheetData>
    <row r="2" spans="2:5" ht="15" customHeight="1" x14ac:dyDescent="0.15">
      <c r="B2" s="137" t="s">
        <v>18</v>
      </c>
      <c r="C2" t="s">
        <v>279</v>
      </c>
    </row>
    <row r="4" spans="2:5" x14ac:dyDescent="0.15">
      <c r="B4" s="138" t="s">
        <v>252</v>
      </c>
    </row>
    <row r="5" spans="2:5" x14ac:dyDescent="0.15">
      <c r="B5" s="139" t="s">
        <v>107</v>
      </c>
      <c r="C5" s="139" t="s">
        <v>108</v>
      </c>
      <c r="D5" s="139" t="s">
        <v>233</v>
      </c>
    </row>
    <row r="6" spans="2:5" x14ac:dyDescent="0.15">
      <c r="B6" s="140"/>
      <c r="C6" s="140"/>
      <c r="D6" s="140"/>
    </row>
    <row r="7" spans="2:5" x14ac:dyDescent="0.15">
      <c r="B7" s="140"/>
      <c r="C7" s="140"/>
      <c r="D7" s="140"/>
    </row>
    <row r="8" spans="2:5" x14ac:dyDescent="0.15">
      <c r="B8" s="141"/>
      <c r="C8" s="141"/>
      <c r="D8" s="141"/>
    </row>
    <row r="10" spans="2:5" x14ac:dyDescent="0.15">
      <c r="B10" s="139"/>
      <c r="C10" s="139" t="s">
        <v>253</v>
      </c>
      <c r="D10" s="139" t="s">
        <v>110</v>
      </c>
      <c r="E10" s="139" t="s">
        <v>278</v>
      </c>
    </row>
    <row r="11" spans="2:5" x14ac:dyDescent="0.15">
      <c r="B11" s="143"/>
      <c r="C11" s="143" t="s">
        <v>254</v>
      </c>
      <c r="D11" s="143"/>
      <c r="E11" s="143" t="s">
        <v>22</v>
      </c>
    </row>
    <row r="12" spans="2:5" x14ac:dyDescent="0.15">
      <c r="B12" s="143"/>
      <c r="C12" s="143" t="s">
        <v>255</v>
      </c>
      <c r="D12" s="143" t="s">
        <v>113</v>
      </c>
      <c r="E12" s="143" t="s">
        <v>113</v>
      </c>
    </row>
    <row r="13" spans="2:5" x14ac:dyDescent="0.15">
      <c r="B13" s="144"/>
      <c r="C13" s="144" t="s">
        <v>258</v>
      </c>
      <c r="D13" s="143"/>
      <c r="E13" s="143"/>
    </row>
    <row r="14" spans="2:5" x14ac:dyDescent="0.15">
      <c r="B14" s="145" t="s">
        <v>256</v>
      </c>
      <c r="C14" s="146" t="s">
        <v>257</v>
      </c>
      <c r="D14" s="146" t="s">
        <v>259</v>
      </c>
      <c r="E14" s="146" t="s">
        <v>280</v>
      </c>
    </row>
    <row r="15" spans="2:5" x14ac:dyDescent="0.15">
      <c r="B15" s="142" t="s">
        <v>234</v>
      </c>
      <c r="C15" s="140" t="s">
        <v>260</v>
      </c>
      <c r="D15" s="142">
        <v>12</v>
      </c>
      <c r="E15" t="s">
        <v>281</v>
      </c>
    </row>
    <row r="16" spans="2:5" x14ac:dyDescent="0.15">
      <c r="B16" s="142" t="s">
        <v>235</v>
      </c>
      <c r="C16" s="140" t="s">
        <v>261</v>
      </c>
      <c r="D16" s="142">
        <v>12</v>
      </c>
      <c r="E16" t="s">
        <v>282</v>
      </c>
    </row>
    <row r="17" spans="2:5" x14ac:dyDescent="0.15">
      <c r="B17" s="142" t="s">
        <v>236</v>
      </c>
      <c r="C17" s="140" t="s">
        <v>262</v>
      </c>
      <c r="D17" s="142">
        <v>12</v>
      </c>
      <c r="E17" t="s">
        <v>283</v>
      </c>
    </row>
    <row r="18" spans="2:5" x14ac:dyDescent="0.15">
      <c r="B18" s="142" t="s">
        <v>237</v>
      </c>
      <c r="C18" s="140" t="s">
        <v>263</v>
      </c>
      <c r="D18" s="142">
        <v>12</v>
      </c>
      <c r="E18" t="s">
        <v>283</v>
      </c>
    </row>
    <row r="19" spans="2:5" x14ac:dyDescent="0.15">
      <c r="B19" s="142" t="s">
        <v>238</v>
      </c>
      <c r="C19" s="140" t="s">
        <v>264</v>
      </c>
      <c r="D19" s="142">
        <v>12</v>
      </c>
      <c r="E19" t="s">
        <v>284</v>
      </c>
    </row>
    <row r="20" spans="2:5" x14ac:dyDescent="0.15">
      <c r="B20" s="142" t="s">
        <v>239</v>
      </c>
      <c r="C20" s="140" t="s">
        <v>265</v>
      </c>
      <c r="D20" s="142">
        <v>12</v>
      </c>
      <c r="E20" t="s">
        <v>285</v>
      </c>
    </row>
    <row r="21" spans="2:5" x14ac:dyDescent="0.15">
      <c r="B21" s="142" t="s">
        <v>240</v>
      </c>
      <c r="C21" s="140" t="s">
        <v>266</v>
      </c>
      <c r="D21" s="142">
        <v>12</v>
      </c>
      <c r="E21" t="s">
        <v>286</v>
      </c>
    </row>
    <row r="22" spans="2:5" x14ac:dyDescent="0.15">
      <c r="B22" s="142" t="s">
        <v>241</v>
      </c>
      <c r="C22" s="140" t="s">
        <v>267</v>
      </c>
      <c r="D22" s="142">
        <v>12</v>
      </c>
      <c r="E22" t="s">
        <v>283</v>
      </c>
    </row>
    <row r="23" spans="2:5" x14ac:dyDescent="0.15">
      <c r="B23" s="142" t="s">
        <v>242</v>
      </c>
      <c r="C23" s="140" t="s">
        <v>268</v>
      </c>
      <c r="D23" s="142">
        <v>12</v>
      </c>
      <c r="E23" t="s">
        <v>281</v>
      </c>
    </row>
    <row r="24" spans="2:5" x14ac:dyDescent="0.15">
      <c r="B24" s="142" t="s">
        <v>243</v>
      </c>
      <c r="C24" s="140" t="s">
        <v>269</v>
      </c>
      <c r="D24" s="142">
        <v>12</v>
      </c>
      <c r="E24" t="s">
        <v>283</v>
      </c>
    </row>
    <row r="25" spans="2:5" x14ac:dyDescent="0.15">
      <c r="B25" s="142" t="s">
        <v>244</v>
      </c>
      <c r="C25" s="140" t="s">
        <v>270</v>
      </c>
      <c r="D25" s="142">
        <v>12</v>
      </c>
      <c r="E25" t="s">
        <v>287</v>
      </c>
    </row>
    <row r="26" spans="2:5" x14ac:dyDescent="0.15">
      <c r="B26" s="142" t="s">
        <v>245</v>
      </c>
      <c r="C26" s="140" t="s">
        <v>271</v>
      </c>
      <c r="D26" s="142">
        <v>12</v>
      </c>
      <c r="E26" t="s">
        <v>288</v>
      </c>
    </row>
    <row r="27" spans="2:5" x14ac:dyDescent="0.15">
      <c r="B27" s="142" t="s">
        <v>246</v>
      </c>
      <c r="C27" s="140" t="s">
        <v>272</v>
      </c>
      <c r="D27" s="142">
        <v>12</v>
      </c>
      <c r="E27" t="s">
        <v>289</v>
      </c>
    </row>
    <row r="28" spans="2:5" x14ac:dyDescent="0.15">
      <c r="B28" s="142" t="s">
        <v>247</v>
      </c>
      <c r="C28" s="140" t="s">
        <v>273</v>
      </c>
      <c r="D28" s="142">
        <v>12</v>
      </c>
      <c r="E28" t="s">
        <v>286</v>
      </c>
    </row>
    <row r="29" spans="2:5" x14ac:dyDescent="0.15">
      <c r="B29" s="142" t="s">
        <v>248</v>
      </c>
      <c r="C29" s="140" t="s">
        <v>274</v>
      </c>
      <c r="D29" s="142">
        <v>12</v>
      </c>
      <c r="E29" t="s">
        <v>286</v>
      </c>
    </row>
    <row r="30" spans="2:5" x14ac:dyDescent="0.15">
      <c r="B30" s="142" t="s">
        <v>249</v>
      </c>
      <c r="C30" s="140" t="s">
        <v>275</v>
      </c>
      <c r="D30" s="142">
        <v>12</v>
      </c>
      <c r="E30" t="s">
        <v>290</v>
      </c>
    </row>
    <row r="31" spans="2:5" x14ac:dyDescent="0.15">
      <c r="B31" s="142" t="s">
        <v>250</v>
      </c>
      <c r="C31" s="140" t="s">
        <v>276</v>
      </c>
      <c r="D31" s="142">
        <v>12</v>
      </c>
      <c r="E31" t="s">
        <v>291</v>
      </c>
    </row>
    <row r="32" spans="2:5" x14ac:dyDescent="0.15">
      <c r="B32" s="142" t="s">
        <v>251</v>
      </c>
      <c r="C32" s="140" t="s">
        <v>277</v>
      </c>
      <c r="D32" s="142">
        <v>12</v>
      </c>
      <c r="E32" t="s">
        <v>292</v>
      </c>
    </row>
  </sheetData>
  <phoneticPr fontId="5" type="noConversion"/>
  <hyperlinks>
    <hyperlink ref="B2" tooltip="Quantiwise7G" display="     Refresh     " xr:uid="{54F8AD85-235F-4962-BCF2-B5886C74A087}"/>
  </hyperlink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곽상아</dc:creator>
  <cp:lastModifiedBy>곽상아</cp:lastModifiedBy>
  <dcterms:created xsi:type="dcterms:W3CDTF">2026-03-30T02:05:13Z</dcterms:created>
  <dcterms:modified xsi:type="dcterms:W3CDTF">2026-05-28T06:02:51Z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4642bXLCrKC1fEfpV4q5Dw==</vt:lpwstr>
  </property>
  <property fmtid="{D5CDD505-2E9C-101B-9397-08002B2CF9AE}" pid="3" name="AST date">
    <vt:lpwstr>20260330132400</vt:lpwstr>
  </property>
</Properties>
</file>